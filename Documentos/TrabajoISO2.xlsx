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carlos_salgado3_alu_uclm_es/Documents/"/>
    </mc:Choice>
  </mc:AlternateContent>
  <xr:revisionPtr revIDLastSave="0" documentId="8_{2D9084CB-1709-46CF-9740-9F33AA8A35C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ficación" sheetId="1" r:id="rId1"/>
    <sheet name="Agenda " sheetId="5" r:id="rId2"/>
    <sheet name="Versiones" sheetId="6" r:id="rId3"/>
  </sheets>
  <definedNames>
    <definedName name="AñoCalendario">#REF!</definedName>
    <definedName name="DíasYSemanas">{0,1,2,3,4,5,6,7,8,9,10,11,12,13,14,15,16,17,18,19,20,21,22,23,24,25,26,27,28,29,30,31}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53" i="1" l="1"/>
  <c r="AW52" i="1"/>
  <c r="AW51" i="1"/>
  <c r="AW50" i="1"/>
  <c r="AW49" i="1"/>
  <c r="AW48" i="1"/>
  <c r="S26" i="1"/>
  <c r="S27" i="1"/>
  <c r="T6" i="1" s="1"/>
  <c r="S28" i="1"/>
  <c r="S40" i="1"/>
  <c r="S41" i="1"/>
  <c r="AB6" i="1" s="1"/>
  <c r="S42" i="1"/>
  <c r="S54" i="1"/>
  <c r="S55" i="1"/>
  <c r="AJ6" i="1" s="1"/>
  <c r="S56" i="1"/>
  <c r="AX48" i="1"/>
  <c r="AX50" i="1"/>
  <c r="AX51" i="1"/>
  <c r="AX52" i="1"/>
  <c r="AX53" i="1"/>
  <c r="AX49" i="1"/>
  <c r="BB40" i="1"/>
  <c r="BB41" i="1" s="1"/>
  <c r="AI6" i="1" s="1"/>
  <c r="AR40" i="1"/>
  <c r="AR42" i="1" s="1"/>
  <c r="AH26" i="1"/>
  <c r="AR54" i="1"/>
  <c r="AR56" i="1" s="1"/>
  <c r="AM54" i="1"/>
  <c r="AM56" i="1" s="1"/>
  <c r="AH54" i="1"/>
  <c r="AH56" i="1" s="1"/>
  <c r="AC54" i="1"/>
  <c r="AC56" i="1" s="1"/>
  <c r="X54" i="1"/>
  <c r="X56" i="1" s="1"/>
  <c r="AW40" i="1"/>
  <c r="AW42" i="1" s="1"/>
  <c r="AM40" i="1"/>
  <c r="AM42" i="1" s="1"/>
  <c r="AH40" i="1"/>
  <c r="AH42" i="1" s="1"/>
  <c r="AC40" i="1"/>
  <c r="AC42" i="1" s="1"/>
  <c r="X40" i="1"/>
  <c r="X42" i="1" s="1"/>
  <c r="X26" i="1"/>
  <c r="AC26" i="1"/>
  <c r="AH28" i="1"/>
  <c r="AM26" i="1"/>
  <c r="AR26" i="1"/>
  <c r="AW26" i="1"/>
  <c r="AW27" i="1" s="1"/>
  <c r="Z6" i="1" s="1"/>
  <c r="BB26" i="1"/>
  <c r="BB28" i="1" s="1"/>
  <c r="X27" i="1"/>
  <c r="U6" i="1" s="1"/>
  <c r="AC27" i="1"/>
  <c r="V6" i="1" s="1"/>
  <c r="AH27" i="1"/>
  <c r="W6" i="1" s="1"/>
  <c r="AM27" i="1"/>
  <c r="X6" i="1" s="1"/>
  <c r="BB27" i="1"/>
  <c r="AA6" i="1" s="1"/>
  <c r="AR28" i="1" l="1"/>
  <c r="AM28" i="1"/>
  <c r="AC28" i="1"/>
  <c r="X28" i="1"/>
  <c r="AW54" i="1"/>
  <c r="AR41" i="1"/>
  <c r="AG6" i="1" s="1"/>
  <c r="AW28" i="1"/>
  <c r="BB42" i="1"/>
  <c r="AR27" i="1"/>
  <c r="Y6" i="1" s="1"/>
  <c r="X55" i="1"/>
  <c r="AK6" i="1" s="1"/>
  <c r="AC55" i="1"/>
  <c r="AL6" i="1" s="1"/>
  <c r="AH55" i="1"/>
  <c r="AM6" i="1" s="1"/>
  <c r="AM55" i="1"/>
  <c r="AN6" i="1" s="1"/>
  <c r="AR55" i="1"/>
  <c r="AO6" i="1" s="1"/>
  <c r="X41" i="1"/>
  <c r="AC6" i="1" s="1"/>
  <c r="AC41" i="1"/>
  <c r="AD6" i="1" s="1"/>
  <c r="AH41" i="1"/>
  <c r="AE6" i="1" s="1"/>
  <c r="AM41" i="1"/>
  <c r="AF6" i="1" s="1"/>
  <c r="AW41" i="1"/>
  <c r="AH6" i="1" s="1"/>
  <c r="AW55" i="1" l="1"/>
  <c r="AW56" i="1"/>
</calcChain>
</file>

<file path=xl/sharedStrings.xml><?xml version="1.0" encoding="utf-8"?>
<sst xmlns="http://schemas.openxmlformats.org/spreadsheetml/2006/main" count="525" uniqueCount="327">
  <si>
    <t>FASE</t>
  </si>
  <si>
    <t>INICIO</t>
  </si>
  <si>
    <t>ELABORACION</t>
  </si>
  <si>
    <t>CONSTRUCCIÓN</t>
  </si>
  <si>
    <t>TRANSICIÓN</t>
  </si>
  <si>
    <t>Planificacion del trabajo teorico 1</t>
  </si>
  <si>
    <t>ITERACION</t>
  </si>
  <si>
    <t>It0</t>
  </si>
  <si>
    <t>It1</t>
  </si>
  <si>
    <t>It2</t>
  </si>
  <si>
    <t>It3</t>
  </si>
  <si>
    <t>It4</t>
  </si>
  <si>
    <t>It5</t>
  </si>
  <si>
    <t>It6</t>
  </si>
  <si>
    <t>It7</t>
  </si>
  <si>
    <t>It8</t>
  </si>
  <si>
    <t>It9</t>
  </si>
  <si>
    <t>It10</t>
  </si>
  <si>
    <t>It11</t>
  </si>
  <si>
    <t>It12</t>
  </si>
  <si>
    <t>It13</t>
  </si>
  <si>
    <t>It14</t>
  </si>
  <si>
    <t>It15</t>
  </si>
  <si>
    <t>It16</t>
  </si>
  <si>
    <t>It17</t>
  </si>
  <si>
    <t>It18</t>
  </si>
  <si>
    <t>It19</t>
  </si>
  <si>
    <t>It20</t>
  </si>
  <si>
    <t>It21</t>
  </si>
  <si>
    <t>It22</t>
  </si>
  <si>
    <t>It23</t>
  </si>
  <si>
    <t xml:space="preserve">Trabajadores: </t>
  </si>
  <si>
    <t>Para nuestro trabajo vamos a tomar como que todos podemos realizar todos los roles.</t>
  </si>
  <si>
    <t>COSTE</t>
  </si>
  <si>
    <t>Ismael Serrano Usero</t>
  </si>
  <si>
    <t>HORAS</t>
  </si>
  <si>
    <t>Jesus Marquez Duque</t>
  </si>
  <si>
    <t>AGENDA</t>
  </si>
  <si>
    <t>Ainhoa Sanchez Esteban</t>
  </si>
  <si>
    <t>Carlos Salgado Rojas</t>
  </si>
  <si>
    <t>David Ruiz  Sanchez</t>
  </si>
  <si>
    <t>Manuel Porrero Sierra</t>
  </si>
  <si>
    <t>REQUISITOS</t>
  </si>
  <si>
    <t>CDU</t>
  </si>
  <si>
    <t>PRIORIDAD</t>
  </si>
  <si>
    <t>ANALISIS</t>
  </si>
  <si>
    <t>DISEÑO</t>
  </si>
  <si>
    <t>IMPLEMENTACION</t>
  </si>
  <si>
    <t>PRUEBAS</t>
  </si>
  <si>
    <t> </t>
  </si>
  <si>
    <t>requisito 1</t>
  </si>
  <si>
    <t>caso1</t>
  </si>
  <si>
    <t>ITERACION 1</t>
  </si>
  <si>
    <t>ITERACION 2</t>
  </si>
  <si>
    <t>ITERACION 3</t>
  </si>
  <si>
    <t>ITERACION 4</t>
  </si>
  <si>
    <t>ITERACION 5</t>
  </si>
  <si>
    <t>ITERACION 6</t>
  </si>
  <si>
    <t>ITERACION 7</t>
  </si>
  <si>
    <t>ITERACION 8</t>
  </si>
  <si>
    <t>requisito 2</t>
  </si>
  <si>
    <t>caso2</t>
  </si>
  <si>
    <t>RRHH</t>
  </si>
  <si>
    <t>R</t>
  </si>
  <si>
    <t>A</t>
  </si>
  <si>
    <t>D</t>
  </si>
  <si>
    <t>I</t>
  </si>
  <si>
    <t>P</t>
  </si>
  <si>
    <t>requisito 3</t>
  </si>
  <si>
    <t>caso3</t>
  </si>
  <si>
    <t>P1</t>
  </si>
  <si>
    <t> 2</t>
  </si>
  <si>
    <t> 1</t>
  </si>
  <si>
    <t>requisito 4</t>
  </si>
  <si>
    <t>caso4</t>
  </si>
  <si>
    <t>P2</t>
  </si>
  <si>
    <t>requisito 5</t>
  </si>
  <si>
    <t>caso5</t>
  </si>
  <si>
    <t>P3</t>
  </si>
  <si>
    <t>requisito 6</t>
  </si>
  <si>
    <t>caso6</t>
  </si>
  <si>
    <t>P4</t>
  </si>
  <si>
    <t>requisito 7</t>
  </si>
  <si>
    <t>caso7</t>
  </si>
  <si>
    <t>P5</t>
  </si>
  <si>
    <t>requisito 8</t>
  </si>
  <si>
    <t>caso8</t>
  </si>
  <si>
    <t>P6</t>
  </si>
  <si>
    <t>requisito 9</t>
  </si>
  <si>
    <t>caso9</t>
  </si>
  <si>
    <t>TH</t>
  </si>
  <si>
    <t>requisito 10</t>
  </si>
  <si>
    <t>caso10</t>
  </si>
  <si>
    <t>TC</t>
  </si>
  <si>
    <t>requisito 11</t>
  </si>
  <si>
    <t>caso11</t>
  </si>
  <si>
    <t>requisito 12</t>
  </si>
  <si>
    <t>caso12</t>
  </si>
  <si>
    <t>requisito 13</t>
  </si>
  <si>
    <t>caso13</t>
  </si>
  <si>
    <t>requisito 14</t>
  </si>
  <si>
    <t>caso14</t>
  </si>
  <si>
    <t>requisito 15</t>
  </si>
  <si>
    <t>caso15</t>
  </si>
  <si>
    <t>ITERACION 9</t>
  </si>
  <si>
    <t>ITERACION 10</t>
  </si>
  <si>
    <t>ITERACION 11</t>
  </si>
  <si>
    <t>ITERACION 12</t>
  </si>
  <si>
    <t>ITERACION 13</t>
  </si>
  <si>
    <t>ITERACION 14</t>
  </si>
  <si>
    <t>ITERACION 15</t>
  </si>
  <si>
    <t>ITERACION 16</t>
  </si>
  <si>
    <t>requisito 16</t>
  </si>
  <si>
    <t>caso16</t>
  </si>
  <si>
    <t>requisito 17</t>
  </si>
  <si>
    <t>caso17</t>
  </si>
  <si>
    <t>2 </t>
  </si>
  <si>
    <t>requisito 18</t>
  </si>
  <si>
    <t>caso18</t>
  </si>
  <si>
    <t>requisito 19</t>
  </si>
  <si>
    <t>caso19</t>
  </si>
  <si>
    <t>requisito 20</t>
  </si>
  <si>
    <t>caso20</t>
  </si>
  <si>
    <t>requisito 21</t>
  </si>
  <si>
    <t>caso21</t>
  </si>
  <si>
    <t>requisito 22</t>
  </si>
  <si>
    <t>caso22</t>
  </si>
  <si>
    <t>ITERACION 17</t>
  </si>
  <si>
    <t>ITERACION 18</t>
  </si>
  <si>
    <t>ITERACION 19</t>
  </si>
  <si>
    <t>ITERACION 20</t>
  </si>
  <si>
    <t>ITERACION 21</t>
  </si>
  <si>
    <t>ITERACION 22</t>
  </si>
  <si>
    <t>OCTOBER 2025</t>
  </si>
  <si>
    <t>LUNES</t>
  </si>
  <si>
    <t>MARTES</t>
  </si>
  <si>
    <t>MIÉRCOLES</t>
  </si>
  <si>
    <t>JUEVES</t>
  </si>
  <si>
    <t>VIERNES</t>
  </si>
  <si>
    <t>SÁBADO</t>
  </si>
  <si>
    <t>DOMINGO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</si>
  <si>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</si>
  <si>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</si>
  <si>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</si>
  <si>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</si>
  <si>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</si>
  <si>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</si>
  <si>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</si>
  <si>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</si>
  <si>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</si>
  <si>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</si>
  <si>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</si>
  <si>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</si>
  <si>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</si>
  <si>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</si>
  <si>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</si>
  <si>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It1
16</t>
  </si>
  <si>
    <t>It1
17</t>
  </si>
  <si>
    <t>18</t>
  </si>
  <si>
    <t>19</t>
  </si>
  <si>
    <t>It1
20</t>
  </si>
  <si>
    <t>It1
21</t>
  </si>
  <si>
    <t>It1
22</t>
  </si>
  <si>
    <t>It1
23</t>
  </si>
  <si>
    <t>It2
24</t>
  </si>
  <si>
    <t>25</t>
  </si>
  <si>
    <t>26</t>
  </si>
  <si>
    <t>It2
27</t>
  </si>
  <si>
    <t>It2
28</t>
  </si>
  <si>
    <t>It2
29</t>
  </si>
  <si>
    <t>It2
30</t>
  </si>
  <si>
    <t>It2
31</t>
  </si>
  <si>
    <t>NOVEMBER 2025</t>
  </si>
  <si>
    <t>It2
3</t>
  </si>
  <si>
    <t>It2
4</t>
  </si>
  <si>
    <t>It3
5</t>
  </si>
  <si>
    <t>It3
6</t>
  </si>
  <si>
    <t>It3
7</t>
  </si>
  <si>
    <t>It3
10</t>
  </si>
  <si>
    <t>It3
11</t>
  </si>
  <si>
    <t>It3
12</t>
  </si>
  <si>
    <t>It3
13</t>
  </si>
  <si>
    <t>It3
14</t>
  </si>
  <si>
    <t>16</t>
  </si>
  <si>
    <t>It4
17</t>
  </si>
  <si>
    <t>It4
18</t>
  </si>
  <si>
    <t>It4
19</t>
  </si>
  <si>
    <t>It4
20</t>
  </si>
  <si>
    <t>It4
21</t>
  </si>
  <si>
    <t>22</t>
  </si>
  <si>
    <t>23</t>
  </si>
  <si>
    <t>It4
24</t>
  </si>
  <si>
    <t>It4
25</t>
  </si>
  <si>
    <t>It4
26</t>
  </si>
  <si>
    <t>It4
27</t>
  </si>
  <si>
    <t>It4
28</t>
  </si>
  <si>
    <t>29</t>
  </si>
  <si>
    <t>30</t>
  </si>
  <si>
    <t>DECEMBER 2025</t>
  </si>
  <si>
    <t>It4
1</t>
  </si>
  <si>
    <t>It5
2</t>
  </si>
  <si>
    <t>It5
3</t>
  </si>
  <si>
    <t>It5
4</t>
  </si>
  <si>
    <t>It5
5</t>
  </si>
  <si>
    <t>Festivo
8</t>
  </si>
  <si>
    <t>It5
9</t>
  </si>
  <si>
    <t>It5
10</t>
  </si>
  <si>
    <t>It5
11</t>
  </si>
  <si>
    <t>It6
12</t>
  </si>
  <si>
    <t>It6
15</t>
  </si>
  <si>
    <t>It6
16</t>
  </si>
  <si>
    <t>It6
17</t>
  </si>
  <si>
    <t>It6
18</t>
  </si>
  <si>
    <t>It6
19</t>
  </si>
  <si>
    <t>20</t>
  </si>
  <si>
    <t>21</t>
  </si>
  <si>
    <t>It7
22</t>
  </si>
  <si>
    <t>It7
23</t>
  </si>
  <si>
    <t>It7
24</t>
  </si>
  <si>
    <t>Festivo
25</t>
  </si>
  <si>
    <t>It7
26</t>
  </si>
  <si>
    <t>27</t>
  </si>
  <si>
    <t>28</t>
  </si>
  <si>
    <t>It7
29</t>
  </si>
  <si>
    <t>It7
30</t>
  </si>
  <si>
    <t>It8
31</t>
  </si>
  <si>
    <t>JANUARY 2026</t>
  </si>
  <si>
    <t>Festivo
1</t>
  </si>
  <si>
    <t>It8
2</t>
  </si>
  <si>
    <t>It8
5</t>
  </si>
  <si>
    <t>Festivo
6</t>
  </si>
  <si>
    <t>It9
7</t>
  </si>
  <si>
    <t>It9
8</t>
  </si>
  <si>
    <t>It9
9</t>
  </si>
  <si>
    <t>It9
12</t>
  </si>
  <si>
    <t>It9
13</t>
  </si>
  <si>
    <t>It10
14</t>
  </si>
  <si>
    <t>It10
15</t>
  </si>
  <si>
    <t>It10
16</t>
  </si>
  <si>
    <t>17</t>
  </si>
  <si>
    <t>It10
19</t>
  </si>
  <si>
    <t>It10
20</t>
  </si>
  <si>
    <t>It11
21</t>
  </si>
  <si>
    <t>It11
22</t>
  </si>
  <si>
    <t>It11
23</t>
  </si>
  <si>
    <t>24</t>
  </si>
  <si>
    <t>It11
26</t>
  </si>
  <si>
    <t>It11
27</t>
  </si>
  <si>
    <t>It12
28</t>
  </si>
  <si>
    <t>It12
29</t>
  </si>
  <si>
    <t>It12
30</t>
  </si>
  <si>
    <t>31</t>
  </si>
  <si>
    <t>FEBRUARY 2026</t>
  </si>
  <si>
    <t xml:space="preserve">
</t>
  </si>
  <si>
    <t>It12
2</t>
  </si>
  <si>
    <t>It12
3</t>
  </si>
  <si>
    <t>It13
4</t>
  </si>
  <si>
    <t>It13
5</t>
  </si>
  <si>
    <t>It13
6</t>
  </si>
  <si>
    <t>It13
9</t>
  </si>
  <si>
    <t>It13
10</t>
  </si>
  <si>
    <t>It14
11</t>
  </si>
  <si>
    <t>It14
12</t>
  </si>
  <si>
    <t>It14
13</t>
  </si>
  <si>
    <t>It14
16</t>
  </si>
  <si>
    <t>It14
17</t>
  </si>
  <si>
    <t>It14
18</t>
  </si>
  <si>
    <t>It15
19</t>
  </si>
  <si>
    <t>It15
20</t>
  </si>
  <si>
    <t>It15
23</t>
  </si>
  <si>
    <t>It15
24</t>
  </si>
  <si>
    <t>It15
25</t>
  </si>
  <si>
    <t>It15
26</t>
  </si>
  <si>
    <t>It16
37</t>
  </si>
  <si>
    <t>MARCH 2026</t>
  </si>
  <si>
    <t>It16
2</t>
  </si>
  <si>
    <t>It16
3</t>
  </si>
  <si>
    <t>It17
4</t>
  </si>
  <si>
    <t>It17
5</t>
  </si>
  <si>
    <t>It17
6</t>
  </si>
  <si>
    <t>It14
9</t>
  </si>
  <si>
    <t>It18
10</t>
  </si>
  <si>
    <t>It18
11</t>
  </si>
  <si>
    <t>It18
12</t>
  </si>
  <si>
    <t>It19
13</t>
  </si>
  <si>
    <t>It19
16</t>
  </si>
  <si>
    <t>It19
17</t>
  </si>
  <si>
    <t>It19
18</t>
  </si>
  <si>
    <t>It20
19</t>
  </si>
  <si>
    <t>It20
20</t>
  </si>
  <si>
    <t>It20
23</t>
  </si>
  <si>
    <t>It20
24</t>
  </si>
  <si>
    <t>It21
25</t>
  </si>
  <si>
    <t>It21
26</t>
  </si>
  <si>
    <t>It21
27</t>
  </si>
  <si>
    <t>It21
30</t>
  </si>
  <si>
    <t>It21
31</t>
  </si>
  <si>
    <t>APRIL 2026</t>
  </si>
  <si>
    <t>It22
1</t>
  </si>
  <si>
    <t>Festivo
2</t>
  </si>
  <si>
    <t>Festivo
3</t>
  </si>
  <si>
    <t>It22
7</t>
  </si>
  <si>
    <t>It22
8</t>
  </si>
  <si>
    <t>ITERACIONES</t>
  </si>
  <si>
    <t>VERSIONES</t>
  </si>
  <si>
    <t>DESCRIPCIÓN</t>
  </si>
  <si>
    <t>it0 (Inicio)</t>
  </si>
  <si>
    <t>0.1.0</t>
  </si>
  <si>
    <t>Inicio del proyecto, especificación de requisitos y modelo del negocio.</t>
  </si>
  <si>
    <t>it1-it5 (Elaboración)</t>
  </si>
  <si>
    <t>0.2.0</t>
  </si>
  <si>
    <t>Implementación de los casos de uso principales con prioridad 1 relacionados con la gestión del sistema. Análisis y diseño inicial.</t>
  </si>
  <si>
    <t>it6-it10 (Elaboración)</t>
  </si>
  <si>
    <t>0.3.0</t>
  </si>
  <si>
    <t>Ampliación del modelo con casos de uso de prioridad 2. Refinamiento de la arquitectura y pruebas iniciales</t>
  </si>
  <si>
    <t>it11-it15 (Construcción)</t>
  </si>
  <si>
    <t>0.4.0</t>
  </si>
  <si>
    <t>Desarrollo de la aplicación cliente-servidor. Integración de componentes y pruebas unitarias.</t>
  </si>
  <si>
    <t>it16-it17(Construccion)</t>
  </si>
  <si>
    <t>0.5.0</t>
  </si>
  <si>
    <t>Optimización del código, mejora de la interfaz y preparación para pruebas de aceptación.</t>
  </si>
  <si>
    <t>it18-it22(Construccion)</t>
  </si>
  <si>
    <t>0.6.0</t>
  </si>
  <si>
    <t>Finalización del sistema y validación de funcionalidades completas.</t>
  </si>
  <si>
    <t>it23(Transición)</t>
  </si>
  <si>
    <t>1.0.0</t>
  </si>
  <si>
    <t>Pruebas finales, despliegue del sistema y entrega al cliente.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</si>
</sst>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8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1"/>
      <color theme="0"/>
      <name val="Segoe UI"/>
      <family val="2"/>
      <scheme val="minor"/>
    </font>
    <font>
      <b/>
      <sz val="14"/>
      <name val="Calibri"/>
    </font>
    <font>
      <b/>
      <sz val="11"/>
      <name val="Calibri"/>
    </font>
    <font>
      <sz val="11"/>
      <name val="Calibri"/>
    </font>
    <font>
      <b/>
      <sz val="14"/>
      <color theme="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DCEBF7"/>
      </patternFill>
    </fill>
    <fill>
      <patternFill patternType="solid">
        <fgColor rgb="FFD99E82"/>
      </patternFill>
    </fill>
    <fill>
      <patternFill patternType="solid">
        <fgColor rgb="FFE06666"/>
      </patternFill>
    </fill>
    <fill>
      <patternFill patternType="solid">
        <fgColor rgb="FFF4B183"/>
      </patternFill>
    </fill>
    <fill>
      <patternFill patternType="solid">
        <fgColor rgb="FFE06666"/>
        <bgColor indexed="64"/>
      </patternFill>
    </fill>
    <fill>
      <patternFill patternType="solid">
        <fgColor rgb="FFDCEBF7"/>
        <bgColor indexed="64"/>
      </patternFill>
    </fill>
    <fill>
      <patternFill patternType="solid">
        <fgColor rgb="FFD99E82"/>
        <bgColor indexed="64"/>
      </patternFill>
    </fill>
  </fills>
  <borders count="7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13" borderId="0" applyNumberFormat="0" applyFont="0" applyBorder="0">
      <alignment horizontal="center" vertical="center"/>
    </xf>
    <xf numFmtId="14" fontId="3" fillId="13" borderId="0" applyFont="0" applyBorder="0" applyProtection="0">
      <alignment horizontal="left" vertical="center"/>
    </xf>
    <xf numFmtId="164" fontId="3" fillId="13" borderId="0" applyFont="0" applyBorder="0">
      <alignment horizontal="center" vertical="top"/>
    </xf>
  </cellStyleXfs>
  <cellXfs count="18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9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0" fillId="5" borderId="18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31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32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0" xfId="0" applyFont="1"/>
    <xf numFmtId="0" fontId="0" fillId="0" borderId="16" xfId="0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" fillId="6" borderId="4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 vertical="center"/>
    </xf>
    <xf numFmtId="0" fontId="6" fillId="15" borderId="15" xfId="0" applyFont="1" applyFill="1" applyBorder="1"/>
    <xf numFmtId="0" fontId="6" fillId="16" borderId="15" xfId="0" applyFont="1" applyFill="1" applyBorder="1" applyAlignment="1">
      <alignment horizontal="center" vertical="center" wrapText="1"/>
    </xf>
    <xf numFmtId="0" fontId="6" fillId="17" borderId="15" xfId="0" applyFont="1" applyFill="1" applyBorder="1" applyAlignment="1">
      <alignment horizontal="center" vertical="center" wrapText="1"/>
    </xf>
    <xf numFmtId="0" fontId="6" fillId="18" borderId="15" xfId="0" applyFont="1" applyFill="1" applyBorder="1" applyAlignment="1">
      <alignment horizontal="center" vertical="center" wrapText="1"/>
    </xf>
    <xf numFmtId="0" fontId="6" fillId="19" borderId="15" xfId="0" applyFont="1" applyFill="1" applyBorder="1" applyAlignment="1">
      <alignment horizontal="center" vertical="center" wrapText="1"/>
    </xf>
    <xf numFmtId="0" fontId="6" fillId="16" borderId="57" xfId="0" applyFont="1" applyFill="1" applyBorder="1" applyAlignment="1">
      <alignment horizontal="center" vertical="center" wrapText="1"/>
    </xf>
    <xf numFmtId="0" fontId="6" fillId="17" borderId="57" xfId="0" applyFont="1" applyFill="1" applyBorder="1" applyAlignment="1">
      <alignment horizontal="center" vertical="center" wrapText="1"/>
    </xf>
    <xf numFmtId="0" fontId="6" fillId="15" borderId="58" xfId="0" applyFont="1" applyFill="1" applyBorder="1"/>
    <xf numFmtId="0" fontId="6" fillId="0" borderId="15" xfId="0" applyFont="1" applyBorder="1"/>
    <xf numFmtId="0" fontId="6" fillId="0" borderId="15" xfId="0" applyFont="1" applyBorder="1" applyAlignment="1">
      <alignment horizontal="center" vertical="center" wrapText="1"/>
    </xf>
    <xf numFmtId="0" fontId="6" fillId="18" borderId="57" xfId="0" applyFont="1" applyFill="1" applyBorder="1" applyAlignment="1">
      <alignment horizontal="center" vertical="center" wrapText="1"/>
    </xf>
    <xf numFmtId="0" fontId="6" fillId="15" borderId="59" xfId="0" applyFont="1" applyFill="1" applyBorder="1"/>
    <xf numFmtId="0" fontId="6" fillId="6" borderId="15" xfId="0" applyFont="1" applyFill="1" applyBorder="1" applyAlignment="1">
      <alignment horizontal="center" vertical="center" wrapText="1"/>
    </xf>
    <xf numFmtId="0" fontId="6" fillId="0" borderId="57" xfId="0" applyFont="1" applyBorder="1"/>
    <xf numFmtId="0" fontId="5" fillId="14" borderId="57" xfId="0" applyFont="1" applyFill="1" applyBorder="1" applyAlignment="1">
      <alignment horizontal="center" vertical="center"/>
    </xf>
    <xf numFmtId="0" fontId="6" fillId="16" borderId="7" xfId="0" applyFont="1" applyFill="1" applyBorder="1" applyAlignment="1">
      <alignment horizontal="center" vertical="center" wrapText="1"/>
    </xf>
    <xf numFmtId="0" fontId="6" fillId="20" borderId="15" xfId="0" applyFont="1" applyFill="1" applyBorder="1" applyAlignment="1">
      <alignment horizontal="center" vertical="center" wrapText="1"/>
    </xf>
    <xf numFmtId="0" fontId="6" fillId="20" borderId="57" xfId="0" applyFont="1" applyFill="1" applyBorder="1" applyAlignment="1">
      <alignment horizontal="center" vertical="center" wrapText="1"/>
    </xf>
    <xf numFmtId="0" fontId="6" fillId="6" borderId="59" xfId="0" applyFont="1" applyFill="1" applyBorder="1" applyAlignment="1">
      <alignment horizontal="center" vertical="center" wrapText="1"/>
    </xf>
    <xf numFmtId="0" fontId="6" fillId="6" borderId="59" xfId="0" applyFont="1" applyFill="1" applyBorder="1"/>
    <xf numFmtId="0" fontId="6" fillId="20" borderId="7" xfId="0" applyFont="1" applyFill="1" applyBorder="1" applyAlignment="1">
      <alignment horizontal="center" vertical="center" wrapText="1"/>
    </xf>
    <xf numFmtId="0" fontId="6" fillId="15" borderId="57" xfId="0" applyFont="1" applyFill="1" applyBorder="1"/>
    <xf numFmtId="0" fontId="0" fillId="21" borderId="0" xfId="0" applyFill="1" applyAlignment="1">
      <alignment horizontal="center" wrapText="1"/>
    </xf>
    <xf numFmtId="0" fontId="6" fillId="22" borderId="15" xfId="0" applyFont="1" applyFill="1" applyBorder="1" applyAlignment="1">
      <alignment horizontal="center" vertical="center" wrapText="1"/>
    </xf>
    <xf numFmtId="0" fontId="6" fillId="22" borderId="57" xfId="0" applyFont="1" applyFill="1" applyBorder="1" applyAlignment="1">
      <alignment horizontal="center" vertical="center" wrapText="1"/>
    </xf>
    <xf numFmtId="0" fontId="6" fillId="22" borderId="59" xfId="0" applyFont="1" applyFill="1" applyBorder="1" applyAlignment="1">
      <alignment horizontal="center" vertical="center" wrapText="1"/>
    </xf>
    <xf numFmtId="0" fontId="6" fillId="22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2" fillId="0" borderId="6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0" fillId="0" borderId="67" xfId="0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" fillId="0" borderId="45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0" fillId="0" borderId="71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63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2" fillId="0" borderId="69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5" xfId="0" applyBorder="1" applyAlignment="1">
      <alignment horizontal="center" wrapText="1"/>
    </xf>
    <xf numFmtId="0" fontId="0" fillId="0" borderId="0" xfId="0" applyAlignment="1"/>
  </cellXfs>
  <cellStyles count="4">
    <cellStyle name="Día" xfId="3" xr:uid="{E49C0048-21BC-4D21-B556-FDA40EE53E49}"/>
    <cellStyle name="Día de la semana" xfId="1" xr:uid="{C12AD7E4-76C5-4EE1-A535-2CC282816EDB}"/>
    <cellStyle name="Fecha" xfId="2" xr:uid="{9FCBFEA4-0D95-4FCC-8E7B-2CD03E5F8CD5}"/>
    <cellStyle name="Normal" xfId="0" builtinId="0"/>
  </cellStyles>
  <dxfs count="0"/>
  <tableStyles count="0" defaultTableStyle="TableStyleMedium2" defaultPivotStyle="PivotStyleMedium9"/>
  <colors>
    <mruColors>
      <color rgb="FFD99E82"/>
      <color rgb="FFDCEBF7"/>
      <color rgb="FFE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BX56"/>
  <sheetViews>
    <sheetView tabSelected="1" topLeftCell="P27" workbookViewId="0">
      <selection activeCell="G41" sqref="G41"/>
    </sheetView>
  </sheetViews>
  <sheetFormatPr defaultColWidth="8.85546875" defaultRowHeight="15"/>
  <cols>
    <col min="7" max="7" width="11.85546875" bestFit="1" customWidth="1"/>
    <col min="9" max="9" width="11" bestFit="1" customWidth="1"/>
    <col min="10" max="10" width="11.85546875" bestFit="1" customWidth="1"/>
    <col min="11" max="11" width="9" bestFit="1" customWidth="1"/>
    <col min="12" max="12" width="8" bestFit="1" customWidth="1"/>
    <col min="13" max="13" width="17.42578125" bestFit="1" customWidth="1"/>
    <col min="18" max="18" width="10.7109375" bestFit="1" customWidth="1"/>
    <col min="19" max="23" width="8.85546875" bestFit="1" customWidth="1"/>
    <col min="41" max="42" width="8.85546875" customWidth="1"/>
    <col min="43" max="43" width="8.7109375" customWidth="1"/>
  </cols>
  <sheetData>
    <row r="3" spans="3:43">
      <c r="R3" s="70"/>
      <c r="V3" s="70"/>
      <c r="Z3" s="70"/>
    </row>
    <row r="4" spans="3:43" ht="29.25" customHeight="1">
      <c r="R4" s="82" t="s">
        <v>0</v>
      </c>
      <c r="S4" s="139" t="s">
        <v>1</v>
      </c>
      <c r="T4" s="170" t="s">
        <v>2</v>
      </c>
      <c r="U4" s="170"/>
      <c r="V4" s="170"/>
      <c r="W4" s="170"/>
      <c r="X4" s="170"/>
      <c r="Y4" s="170"/>
      <c r="Z4" s="170"/>
      <c r="AA4" s="170"/>
      <c r="AB4" s="170"/>
      <c r="AC4" s="171"/>
      <c r="AD4" s="143" t="s">
        <v>3</v>
      </c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4" t="s">
        <v>4</v>
      </c>
      <c r="AQ4" s="175"/>
    </row>
    <row r="5" spans="3:43">
      <c r="C5" t="s">
        <v>5</v>
      </c>
      <c r="R5" s="64" t="s">
        <v>6</v>
      </c>
      <c r="S5" s="86" t="s">
        <v>7</v>
      </c>
      <c r="T5" s="55" t="s">
        <v>8</v>
      </c>
      <c r="U5" s="120" t="s">
        <v>9</v>
      </c>
      <c r="V5" s="120" t="s">
        <v>10</v>
      </c>
      <c r="W5" s="120" t="s">
        <v>11</v>
      </c>
      <c r="X5" s="120" t="s">
        <v>12</v>
      </c>
      <c r="Y5" s="120" t="s">
        <v>13</v>
      </c>
      <c r="Z5" s="120" t="s">
        <v>14</v>
      </c>
      <c r="AA5" s="120" t="s">
        <v>15</v>
      </c>
      <c r="AB5" s="121" t="s">
        <v>16</v>
      </c>
      <c r="AC5" s="122" t="s">
        <v>17</v>
      </c>
      <c r="AD5" s="55" t="s">
        <v>18</v>
      </c>
      <c r="AE5" s="120" t="s">
        <v>19</v>
      </c>
      <c r="AF5" s="120" t="s">
        <v>20</v>
      </c>
      <c r="AG5" s="120" t="s">
        <v>21</v>
      </c>
      <c r="AH5" s="120" t="s">
        <v>22</v>
      </c>
      <c r="AI5" s="120" t="s">
        <v>23</v>
      </c>
      <c r="AJ5" s="120" t="s">
        <v>24</v>
      </c>
      <c r="AK5" s="120" t="s">
        <v>25</v>
      </c>
      <c r="AL5" s="120" t="s">
        <v>26</v>
      </c>
      <c r="AM5" s="120" t="s">
        <v>27</v>
      </c>
      <c r="AN5" s="120" t="s">
        <v>28</v>
      </c>
      <c r="AO5" s="121" t="s">
        <v>29</v>
      </c>
      <c r="AP5" s="176" t="s">
        <v>30</v>
      </c>
      <c r="AQ5" s="177"/>
    </row>
    <row r="6" spans="3:43">
      <c r="C6" t="s">
        <v>31</v>
      </c>
      <c r="F6" t="s">
        <v>32</v>
      </c>
      <c r="R6" s="64" t="s">
        <v>33</v>
      </c>
      <c r="S6" s="123">
        <v>880</v>
      </c>
      <c r="T6" s="124">
        <f>S27</f>
        <v>946</v>
      </c>
      <c r="U6" s="125">
        <f>X27</f>
        <v>1320</v>
      </c>
      <c r="V6" s="125">
        <f>AC27</f>
        <v>1386</v>
      </c>
      <c r="W6" s="125">
        <f>AH27</f>
        <v>1804</v>
      </c>
      <c r="X6" s="125">
        <f>AM27</f>
        <v>1188</v>
      </c>
      <c r="Y6" s="126">
        <f>AR27</f>
        <v>946</v>
      </c>
      <c r="Z6" s="126">
        <f>AW27</f>
        <v>1012</v>
      </c>
      <c r="AA6" s="126">
        <f>BB27</f>
        <v>484</v>
      </c>
      <c r="AB6" s="127">
        <f>S41</f>
        <v>792</v>
      </c>
      <c r="AC6" s="128">
        <f>X41</f>
        <v>814</v>
      </c>
      <c r="AD6" s="129">
        <f>AC41</f>
        <v>814</v>
      </c>
      <c r="AE6" s="126">
        <f>AH41</f>
        <v>726</v>
      </c>
      <c r="AF6" s="126">
        <f>AM41</f>
        <v>858</v>
      </c>
      <c r="AG6" s="126">
        <f>AR41</f>
        <v>902</v>
      </c>
      <c r="AH6" s="126">
        <f>AW41</f>
        <v>902</v>
      </c>
      <c r="AI6" s="126">
        <f>BB41</f>
        <v>528</v>
      </c>
      <c r="AJ6" s="126">
        <f>S55</f>
        <v>594</v>
      </c>
      <c r="AK6" s="126">
        <f>X55</f>
        <v>528</v>
      </c>
      <c r="AL6" s="126">
        <f>AC55</f>
        <v>660</v>
      </c>
      <c r="AM6" s="126">
        <f>AH55</f>
        <v>572</v>
      </c>
      <c r="AN6" s="126">
        <f>AM55</f>
        <v>814</v>
      </c>
      <c r="AO6" s="127">
        <f>AR55</f>
        <v>528</v>
      </c>
      <c r="AP6" s="172">
        <v>1760</v>
      </c>
      <c r="AQ6" s="173"/>
    </row>
    <row r="7" spans="3:43">
      <c r="C7" t="s">
        <v>34</v>
      </c>
      <c r="R7" s="64" t="s">
        <v>35</v>
      </c>
      <c r="S7" s="123">
        <v>40</v>
      </c>
      <c r="T7" s="124">
        <v>43</v>
      </c>
      <c r="U7" s="125">
        <v>60</v>
      </c>
      <c r="V7" s="125">
        <v>63</v>
      </c>
      <c r="W7" s="125">
        <v>82</v>
      </c>
      <c r="X7" s="125">
        <v>54</v>
      </c>
      <c r="Y7" s="125">
        <v>43</v>
      </c>
      <c r="Z7" s="125">
        <v>46</v>
      </c>
      <c r="AA7" s="125">
        <v>22</v>
      </c>
      <c r="AB7" s="130">
        <v>36</v>
      </c>
      <c r="AC7" s="131">
        <v>37</v>
      </c>
      <c r="AD7" s="124">
        <v>37</v>
      </c>
      <c r="AE7" s="125">
        <v>33</v>
      </c>
      <c r="AF7" s="125">
        <v>39</v>
      </c>
      <c r="AG7" s="125">
        <v>41</v>
      </c>
      <c r="AH7" s="125">
        <v>41</v>
      </c>
      <c r="AI7" s="125">
        <v>24</v>
      </c>
      <c r="AJ7" s="125">
        <v>27</v>
      </c>
      <c r="AK7" s="125">
        <v>24</v>
      </c>
      <c r="AL7" s="125">
        <v>30</v>
      </c>
      <c r="AM7" s="125">
        <v>26</v>
      </c>
      <c r="AN7" s="125">
        <v>37</v>
      </c>
      <c r="AO7" s="130">
        <v>24</v>
      </c>
      <c r="AP7" s="162">
        <v>80</v>
      </c>
      <c r="AQ7" s="163"/>
    </row>
    <row r="8" spans="3:43">
      <c r="C8" t="s">
        <v>36</v>
      </c>
      <c r="R8" s="84" t="s">
        <v>37</v>
      </c>
      <c r="S8" s="132">
        <v>6</v>
      </c>
      <c r="T8" s="133">
        <v>6</v>
      </c>
      <c r="U8" s="134">
        <v>8</v>
      </c>
      <c r="V8" s="134">
        <v>8</v>
      </c>
      <c r="W8" s="134">
        <v>11</v>
      </c>
      <c r="X8" s="134">
        <v>7</v>
      </c>
      <c r="Y8" s="135">
        <v>6</v>
      </c>
      <c r="Z8" s="135">
        <v>6</v>
      </c>
      <c r="AA8" s="135">
        <v>3</v>
      </c>
      <c r="AB8" s="136">
        <v>5</v>
      </c>
      <c r="AC8" s="137">
        <v>5</v>
      </c>
      <c r="AD8" s="138">
        <v>5</v>
      </c>
      <c r="AE8" s="135">
        <v>5</v>
      </c>
      <c r="AF8" s="135">
        <v>5</v>
      </c>
      <c r="AG8" s="135">
        <v>6</v>
      </c>
      <c r="AH8" s="135">
        <v>6</v>
      </c>
      <c r="AI8" s="135">
        <v>3</v>
      </c>
      <c r="AJ8" s="135">
        <v>4</v>
      </c>
      <c r="AK8" s="135">
        <v>3</v>
      </c>
      <c r="AL8" s="135">
        <v>4</v>
      </c>
      <c r="AM8" s="135">
        <v>4</v>
      </c>
      <c r="AN8" s="135">
        <v>5</v>
      </c>
      <c r="AO8" s="136">
        <v>3</v>
      </c>
      <c r="AP8" s="164">
        <v>10</v>
      </c>
      <c r="AQ8" s="165"/>
    </row>
    <row r="9" spans="3:43">
      <c r="C9" t="s">
        <v>38</v>
      </c>
      <c r="R9" s="70"/>
      <c r="S9" s="70"/>
      <c r="T9" s="70"/>
      <c r="U9" s="70"/>
      <c r="V9" s="70"/>
      <c r="W9" s="70"/>
    </row>
    <row r="10" spans="3:43" ht="15" customHeight="1">
      <c r="C10" t="s">
        <v>39</v>
      </c>
      <c r="R10" s="70"/>
      <c r="S10" s="88"/>
      <c r="T10" s="88"/>
      <c r="U10" s="88"/>
      <c r="V10" s="88"/>
      <c r="W10" s="88"/>
    </row>
    <row r="11" spans="3:43">
      <c r="C11" t="s">
        <v>40</v>
      </c>
      <c r="R11" s="70"/>
      <c r="S11" s="88"/>
      <c r="T11" s="88"/>
      <c r="U11" s="88"/>
      <c r="V11" s="88"/>
      <c r="W11" s="88"/>
    </row>
    <row r="12" spans="3:43">
      <c r="C12" t="s">
        <v>41</v>
      </c>
      <c r="R12" s="70"/>
      <c r="S12" s="88"/>
      <c r="T12" s="88"/>
      <c r="U12" s="88"/>
      <c r="V12" s="88"/>
      <c r="W12" s="88"/>
    </row>
    <row r="17" spans="5:76">
      <c r="E17" s="1"/>
      <c r="G17" s="2" t="s">
        <v>42</v>
      </c>
      <c r="H17" s="3" t="s">
        <v>43</v>
      </c>
      <c r="I17" s="4" t="s">
        <v>44</v>
      </c>
      <c r="J17" s="4" t="s">
        <v>42</v>
      </c>
      <c r="K17" s="4" t="s">
        <v>45</v>
      </c>
      <c r="L17" s="4" t="s">
        <v>46</v>
      </c>
      <c r="M17" s="4" t="s">
        <v>47</v>
      </c>
      <c r="N17" s="5" t="s">
        <v>48</v>
      </c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</row>
    <row r="18" spans="5:76">
      <c r="E18" s="1" t="s">
        <v>49</v>
      </c>
      <c r="G18" s="6" t="s">
        <v>50</v>
      </c>
      <c r="H18" s="7" t="s">
        <v>51</v>
      </c>
      <c r="I18" s="8">
        <v>1</v>
      </c>
      <c r="J18" s="8">
        <v>5</v>
      </c>
      <c r="K18" s="8">
        <v>7</v>
      </c>
      <c r="L18" s="8">
        <v>12</v>
      </c>
      <c r="M18" s="8">
        <v>17</v>
      </c>
      <c r="N18" s="9">
        <v>2</v>
      </c>
      <c r="O18" s="27"/>
      <c r="R18" s="70"/>
      <c r="S18" s="143" t="s">
        <v>52</v>
      </c>
      <c r="T18" s="143"/>
      <c r="U18" s="143"/>
      <c r="V18" s="143"/>
      <c r="W18" s="143"/>
      <c r="X18" s="140" t="s">
        <v>53</v>
      </c>
      <c r="Y18" s="140"/>
      <c r="Z18" s="140"/>
      <c r="AA18" s="140"/>
      <c r="AB18" s="140"/>
      <c r="AC18" s="140" t="s">
        <v>54</v>
      </c>
      <c r="AD18" s="140"/>
      <c r="AE18" s="140"/>
      <c r="AF18" s="140"/>
      <c r="AG18" s="140"/>
      <c r="AH18" s="140" t="s">
        <v>55</v>
      </c>
      <c r="AI18" s="140"/>
      <c r="AJ18" s="140"/>
      <c r="AK18" s="140"/>
      <c r="AL18" s="140"/>
      <c r="AM18" s="140" t="s">
        <v>56</v>
      </c>
      <c r="AN18" s="140"/>
      <c r="AO18" s="140"/>
      <c r="AP18" s="140"/>
      <c r="AQ18" s="140"/>
      <c r="AR18" s="140" t="s">
        <v>57</v>
      </c>
      <c r="AS18" s="140"/>
      <c r="AT18" s="140"/>
      <c r="AU18" s="140"/>
      <c r="AV18" s="140"/>
      <c r="AW18" s="140" t="s">
        <v>58</v>
      </c>
      <c r="AX18" s="140"/>
      <c r="AY18" s="140"/>
      <c r="AZ18" s="140"/>
      <c r="BA18" s="140"/>
      <c r="BB18" s="140" t="s">
        <v>59</v>
      </c>
      <c r="BC18" s="140"/>
      <c r="BD18" s="140"/>
      <c r="BE18" s="140"/>
      <c r="BF18" s="145"/>
    </row>
    <row r="19" spans="5:76">
      <c r="E19" s="1" t="s">
        <v>49</v>
      </c>
      <c r="G19" s="10" t="s">
        <v>60</v>
      </c>
      <c r="H19" s="11" t="s">
        <v>61</v>
      </c>
      <c r="I19" s="12">
        <v>1</v>
      </c>
      <c r="J19" s="12">
        <v>6</v>
      </c>
      <c r="K19" s="12">
        <v>9</v>
      </c>
      <c r="L19" s="12">
        <v>15</v>
      </c>
      <c r="M19" s="12">
        <v>21</v>
      </c>
      <c r="N19" s="13">
        <v>9</v>
      </c>
      <c r="O19" s="27"/>
      <c r="R19" s="83" t="s">
        <v>62</v>
      </c>
      <c r="S19" s="56" t="s">
        <v>63</v>
      </c>
      <c r="T19" s="56" t="s">
        <v>64</v>
      </c>
      <c r="U19" s="56" t="s">
        <v>65</v>
      </c>
      <c r="V19" s="56" t="s">
        <v>66</v>
      </c>
      <c r="W19" s="70" t="s">
        <v>67</v>
      </c>
      <c r="X19" s="52" t="s">
        <v>63</v>
      </c>
      <c r="Y19" s="34" t="s">
        <v>64</v>
      </c>
      <c r="Z19" s="34" t="s">
        <v>65</v>
      </c>
      <c r="AA19" s="34" t="s">
        <v>66</v>
      </c>
      <c r="AB19" s="35" t="s">
        <v>67</v>
      </c>
      <c r="AC19" s="52" t="s">
        <v>63</v>
      </c>
      <c r="AD19" s="34" t="s">
        <v>64</v>
      </c>
      <c r="AE19" s="34" t="s">
        <v>65</v>
      </c>
      <c r="AF19" s="34" t="s">
        <v>66</v>
      </c>
      <c r="AG19" s="35" t="s">
        <v>67</v>
      </c>
      <c r="AH19" s="52" t="s">
        <v>63</v>
      </c>
      <c r="AI19" s="34" t="s">
        <v>64</v>
      </c>
      <c r="AJ19" s="34" t="s">
        <v>65</v>
      </c>
      <c r="AK19" s="34" t="s">
        <v>66</v>
      </c>
      <c r="AL19" s="35" t="s">
        <v>67</v>
      </c>
      <c r="AM19" s="52" t="s">
        <v>63</v>
      </c>
      <c r="AN19" s="34" t="s">
        <v>64</v>
      </c>
      <c r="AO19" s="34" t="s">
        <v>65</v>
      </c>
      <c r="AP19" s="34" t="s">
        <v>66</v>
      </c>
      <c r="AQ19" s="35" t="s">
        <v>67</v>
      </c>
      <c r="AR19" s="52" t="s">
        <v>63</v>
      </c>
      <c r="AS19" s="34" t="s">
        <v>64</v>
      </c>
      <c r="AT19" s="34" t="s">
        <v>65</v>
      </c>
      <c r="AU19" s="34" t="s">
        <v>66</v>
      </c>
      <c r="AV19" s="35" t="s">
        <v>67</v>
      </c>
      <c r="AW19" s="52" t="s">
        <v>63</v>
      </c>
      <c r="AX19" s="34" t="s">
        <v>64</v>
      </c>
      <c r="AY19" s="34" t="s">
        <v>65</v>
      </c>
      <c r="AZ19" s="34" t="s">
        <v>66</v>
      </c>
      <c r="BA19" s="35" t="s">
        <v>67</v>
      </c>
      <c r="BB19" s="52" t="s">
        <v>63</v>
      </c>
      <c r="BC19" s="34" t="s">
        <v>64</v>
      </c>
      <c r="BD19" s="34" t="s">
        <v>65</v>
      </c>
      <c r="BE19" s="34" t="s">
        <v>66</v>
      </c>
      <c r="BF19" s="53" t="s">
        <v>67</v>
      </c>
    </row>
    <row r="20" spans="5:76">
      <c r="E20" s="1" t="s">
        <v>49</v>
      </c>
      <c r="G20" s="14" t="s">
        <v>68</v>
      </c>
      <c r="H20" s="20" t="s">
        <v>69</v>
      </c>
      <c r="I20" s="15">
        <v>2</v>
      </c>
      <c r="J20" s="15">
        <v>3</v>
      </c>
      <c r="K20" s="15">
        <v>8</v>
      </c>
      <c r="L20" s="15">
        <v>13</v>
      </c>
      <c r="M20" s="15">
        <v>17</v>
      </c>
      <c r="N20" s="16">
        <v>7</v>
      </c>
      <c r="O20" s="28"/>
      <c r="R20" s="64" t="s">
        <v>70</v>
      </c>
      <c r="S20" s="59">
        <v>1</v>
      </c>
      <c r="T20" s="54">
        <v>2</v>
      </c>
      <c r="U20" s="54">
        <v>2</v>
      </c>
      <c r="V20" s="54">
        <v>3</v>
      </c>
      <c r="W20" s="60">
        <v>0</v>
      </c>
      <c r="X20" s="44">
        <v>1</v>
      </c>
      <c r="Y20" s="45">
        <v>2</v>
      </c>
      <c r="Z20" s="45">
        <v>2</v>
      </c>
      <c r="AA20" s="45">
        <v>3</v>
      </c>
      <c r="AB20" s="46">
        <v>1</v>
      </c>
      <c r="AC20" s="44">
        <v>1</v>
      </c>
      <c r="AD20" s="45">
        <v>2</v>
      </c>
      <c r="AE20" s="45">
        <v>4</v>
      </c>
      <c r="AF20" s="45">
        <v>3</v>
      </c>
      <c r="AG20" s="46">
        <v>2</v>
      </c>
      <c r="AH20" s="44">
        <v>1</v>
      </c>
      <c r="AI20" s="45">
        <v>1</v>
      </c>
      <c r="AJ20" s="45">
        <v>8</v>
      </c>
      <c r="AK20" s="45">
        <v>3</v>
      </c>
      <c r="AL20" s="46">
        <v>0</v>
      </c>
      <c r="AM20" s="44">
        <v>1</v>
      </c>
      <c r="AN20" s="45">
        <v>1</v>
      </c>
      <c r="AO20" s="45">
        <v>2</v>
      </c>
      <c r="AP20" s="45">
        <v>2</v>
      </c>
      <c r="AQ20" s="46">
        <v>2</v>
      </c>
      <c r="AR20" s="44">
        <v>1</v>
      </c>
      <c r="AS20" s="45">
        <v>1</v>
      </c>
      <c r="AT20" s="45">
        <v>2</v>
      </c>
      <c r="AU20" s="45">
        <v>3</v>
      </c>
      <c r="AV20" s="46">
        <v>1</v>
      </c>
      <c r="AW20" s="44">
        <v>1</v>
      </c>
      <c r="AX20" s="45">
        <v>1</v>
      </c>
      <c r="AY20" s="45">
        <v>2</v>
      </c>
      <c r="AZ20" s="45">
        <v>3</v>
      </c>
      <c r="BA20" s="46">
        <v>1</v>
      </c>
      <c r="BB20" s="44" t="s">
        <v>71</v>
      </c>
      <c r="BC20" s="45" t="s">
        <v>71</v>
      </c>
      <c r="BD20" s="45" t="s">
        <v>72</v>
      </c>
      <c r="BE20" s="45">
        <v>1</v>
      </c>
      <c r="BF20" s="46">
        <v>0</v>
      </c>
    </row>
    <row r="21" spans="5:76">
      <c r="E21" s="1" t="s">
        <v>49</v>
      </c>
      <c r="G21" s="17" t="s">
        <v>73</v>
      </c>
      <c r="H21" s="21" t="s">
        <v>74</v>
      </c>
      <c r="I21" s="18">
        <v>4</v>
      </c>
      <c r="J21" s="18">
        <v>3</v>
      </c>
      <c r="K21" s="18">
        <v>4</v>
      </c>
      <c r="L21" s="18">
        <v>9</v>
      </c>
      <c r="M21" s="18">
        <v>8</v>
      </c>
      <c r="N21" s="19">
        <v>5</v>
      </c>
      <c r="O21" s="29"/>
      <c r="R21" s="64" t="s">
        <v>75</v>
      </c>
      <c r="S21" s="61">
        <v>1</v>
      </c>
      <c r="T21" s="55">
        <v>1</v>
      </c>
      <c r="U21" s="55">
        <v>2</v>
      </c>
      <c r="V21" s="55">
        <v>3</v>
      </c>
      <c r="W21" s="62">
        <v>0</v>
      </c>
      <c r="X21" s="47">
        <v>1</v>
      </c>
      <c r="Y21" s="36">
        <v>2</v>
      </c>
      <c r="Z21" s="36">
        <v>2</v>
      </c>
      <c r="AA21" s="36">
        <v>3</v>
      </c>
      <c r="AB21" s="37">
        <v>1</v>
      </c>
      <c r="AC21" s="47">
        <v>1</v>
      </c>
      <c r="AD21" s="36">
        <v>2</v>
      </c>
      <c r="AE21" s="36">
        <v>4</v>
      </c>
      <c r="AF21" s="36">
        <v>3</v>
      </c>
      <c r="AG21" s="37">
        <v>1</v>
      </c>
      <c r="AH21" s="47">
        <v>1</v>
      </c>
      <c r="AI21" s="36">
        <v>1</v>
      </c>
      <c r="AJ21" s="36">
        <v>8</v>
      </c>
      <c r="AK21" s="36">
        <v>3</v>
      </c>
      <c r="AL21" s="37">
        <v>0</v>
      </c>
      <c r="AM21" s="47">
        <v>1</v>
      </c>
      <c r="AN21" s="36">
        <v>1</v>
      </c>
      <c r="AO21" s="36">
        <v>2</v>
      </c>
      <c r="AP21" s="36">
        <v>3</v>
      </c>
      <c r="AQ21" s="37">
        <v>2</v>
      </c>
      <c r="AR21" s="47">
        <v>1</v>
      </c>
      <c r="AS21" s="36">
        <v>1</v>
      </c>
      <c r="AT21" s="36">
        <v>2</v>
      </c>
      <c r="AU21" s="36">
        <v>3</v>
      </c>
      <c r="AV21" s="37">
        <v>1</v>
      </c>
      <c r="AW21" s="47">
        <v>1</v>
      </c>
      <c r="AX21" s="36">
        <v>1</v>
      </c>
      <c r="AY21" s="36">
        <v>2</v>
      </c>
      <c r="AZ21" s="36">
        <v>3</v>
      </c>
      <c r="BA21" s="37">
        <v>1</v>
      </c>
      <c r="BB21" s="47">
        <v>1</v>
      </c>
      <c r="BC21" s="36">
        <v>1</v>
      </c>
      <c r="BD21" s="36">
        <v>2</v>
      </c>
      <c r="BE21" s="36">
        <v>1</v>
      </c>
      <c r="BF21" s="37">
        <v>0</v>
      </c>
    </row>
    <row r="22" spans="5:76">
      <c r="E22" s="1" t="s">
        <v>49</v>
      </c>
      <c r="G22" s="6" t="s">
        <v>76</v>
      </c>
      <c r="H22" s="7" t="s">
        <v>77</v>
      </c>
      <c r="I22" s="8">
        <v>5</v>
      </c>
      <c r="J22" s="8">
        <v>2</v>
      </c>
      <c r="K22" s="8">
        <v>4</v>
      </c>
      <c r="L22" s="8">
        <v>6</v>
      </c>
      <c r="M22" s="8">
        <v>9</v>
      </c>
      <c r="N22" s="9">
        <v>3</v>
      </c>
      <c r="O22" s="30"/>
      <c r="R22" s="64" t="s">
        <v>78</v>
      </c>
      <c r="S22" s="61">
        <v>1</v>
      </c>
      <c r="T22" s="56">
        <v>1</v>
      </c>
      <c r="U22" s="56">
        <v>2</v>
      </c>
      <c r="V22" s="56">
        <v>3</v>
      </c>
      <c r="W22" s="63">
        <v>0</v>
      </c>
      <c r="X22" s="47">
        <v>1</v>
      </c>
      <c r="Y22" s="38">
        <v>2</v>
      </c>
      <c r="Z22" s="38">
        <v>2</v>
      </c>
      <c r="AA22" s="38">
        <v>3</v>
      </c>
      <c r="AB22" s="39">
        <v>1</v>
      </c>
      <c r="AC22" s="47">
        <v>1</v>
      </c>
      <c r="AD22" s="38">
        <v>2</v>
      </c>
      <c r="AE22" s="38">
        <v>4</v>
      </c>
      <c r="AF22" s="38">
        <v>3</v>
      </c>
      <c r="AG22" s="39">
        <v>1</v>
      </c>
      <c r="AH22" s="47">
        <v>1</v>
      </c>
      <c r="AI22" s="38">
        <v>1</v>
      </c>
      <c r="AJ22" s="38">
        <v>8</v>
      </c>
      <c r="AK22" s="38">
        <v>3</v>
      </c>
      <c r="AL22" s="39">
        <v>1</v>
      </c>
      <c r="AM22" s="47">
        <v>1</v>
      </c>
      <c r="AN22" s="38">
        <v>1</v>
      </c>
      <c r="AO22" s="38">
        <v>2</v>
      </c>
      <c r="AP22" s="38">
        <v>3</v>
      </c>
      <c r="AQ22" s="39">
        <v>2</v>
      </c>
      <c r="AR22" s="47">
        <v>1</v>
      </c>
      <c r="AS22" s="38">
        <v>1</v>
      </c>
      <c r="AT22" s="38">
        <v>2</v>
      </c>
      <c r="AU22" s="38">
        <v>3</v>
      </c>
      <c r="AV22" s="39">
        <v>0</v>
      </c>
      <c r="AW22" s="47">
        <v>1</v>
      </c>
      <c r="AX22" s="38">
        <v>1</v>
      </c>
      <c r="AY22" s="38">
        <v>2</v>
      </c>
      <c r="AZ22" s="38">
        <v>3</v>
      </c>
      <c r="BA22" s="39">
        <v>1</v>
      </c>
      <c r="BB22" s="47">
        <v>1</v>
      </c>
      <c r="BC22" s="38">
        <v>1</v>
      </c>
      <c r="BD22" s="38">
        <v>1</v>
      </c>
      <c r="BE22" s="38">
        <v>1</v>
      </c>
      <c r="BF22" s="39">
        <v>1</v>
      </c>
    </row>
    <row r="23" spans="5:76">
      <c r="E23" s="1" t="s">
        <v>49</v>
      </c>
      <c r="G23" s="10" t="s">
        <v>79</v>
      </c>
      <c r="H23" s="11" t="s">
        <v>80</v>
      </c>
      <c r="I23" s="12">
        <v>6</v>
      </c>
      <c r="J23" s="12">
        <v>4</v>
      </c>
      <c r="K23" s="12">
        <v>5</v>
      </c>
      <c r="L23" s="12">
        <v>4</v>
      </c>
      <c r="M23" s="12">
        <v>9</v>
      </c>
      <c r="N23" s="13">
        <v>2</v>
      </c>
      <c r="O23" s="31"/>
      <c r="R23" s="64" t="s">
        <v>81</v>
      </c>
      <c r="S23" s="64">
        <v>1</v>
      </c>
      <c r="T23" s="57">
        <v>1</v>
      </c>
      <c r="U23" s="58">
        <v>2</v>
      </c>
      <c r="V23" s="58">
        <v>3</v>
      </c>
      <c r="W23" s="65">
        <v>0</v>
      </c>
      <c r="X23" s="48">
        <v>1</v>
      </c>
      <c r="Y23" s="41">
        <v>1</v>
      </c>
      <c r="Z23" s="42">
        <v>3</v>
      </c>
      <c r="AA23" s="42">
        <v>4</v>
      </c>
      <c r="AB23" s="43">
        <v>2</v>
      </c>
      <c r="AC23" s="48">
        <v>1</v>
      </c>
      <c r="AD23" s="41">
        <v>2</v>
      </c>
      <c r="AE23" s="42">
        <v>4</v>
      </c>
      <c r="AF23" s="42">
        <v>3</v>
      </c>
      <c r="AG23" s="43">
        <v>1</v>
      </c>
      <c r="AH23" s="48">
        <v>1</v>
      </c>
      <c r="AI23" s="41">
        <v>1</v>
      </c>
      <c r="AJ23" s="42">
        <v>8</v>
      </c>
      <c r="AK23" s="42">
        <v>3</v>
      </c>
      <c r="AL23" s="43">
        <v>1</v>
      </c>
      <c r="AM23" s="48">
        <v>2</v>
      </c>
      <c r="AN23" s="41">
        <v>1</v>
      </c>
      <c r="AO23" s="42">
        <v>2</v>
      </c>
      <c r="AP23" s="42">
        <v>3</v>
      </c>
      <c r="AQ23" s="43">
        <v>2</v>
      </c>
      <c r="AR23" s="48">
        <v>0</v>
      </c>
      <c r="AS23" s="41">
        <v>1</v>
      </c>
      <c r="AT23" s="42">
        <v>2</v>
      </c>
      <c r="AU23" s="42">
        <v>3</v>
      </c>
      <c r="AV23" s="43">
        <v>0</v>
      </c>
      <c r="AW23" s="48">
        <v>1</v>
      </c>
      <c r="AX23" s="41">
        <v>1</v>
      </c>
      <c r="AY23" s="42">
        <v>2</v>
      </c>
      <c r="AZ23" s="42">
        <v>2</v>
      </c>
      <c r="BA23" s="43">
        <v>2</v>
      </c>
      <c r="BB23" s="48">
        <v>1</v>
      </c>
      <c r="BC23" s="41">
        <v>1</v>
      </c>
      <c r="BD23" s="42">
        <v>1</v>
      </c>
      <c r="BE23" s="42">
        <v>0</v>
      </c>
      <c r="BF23" s="43">
        <v>1</v>
      </c>
    </row>
    <row r="24" spans="5:76">
      <c r="E24" s="1" t="s">
        <v>49</v>
      </c>
      <c r="G24" s="14" t="s">
        <v>82</v>
      </c>
      <c r="H24" s="20" t="s">
        <v>83</v>
      </c>
      <c r="I24" s="15">
        <v>2</v>
      </c>
      <c r="J24" s="15">
        <v>4</v>
      </c>
      <c r="K24" s="15">
        <v>7</v>
      </c>
      <c r="L24" s="15">
        <v>11</v>
      </c>
      <c r="M24" s="15">
        <v>15</v>
      </c>
      <c r="N24" s="16">
        <v>9</v>
      </c>
      <c r="O24" s="28"/>
      <c r="R24" s="64" t="s">
        <v>84</v>
      </c>
      <c r="S24" s="61">
        <v>1</v>
      </c>
      <c r="T24" s="55">
        <v>1</v>
      </c>
      <c r="U24" s="55">
        <v>2</v>
      </c>
      <c r="V24" s="55">
        <v>3</v>
      </c>
      <c r="W24" s="62">
        <v>1</v>
      </c>
      <c r="X24" s="47">
        <v>1</v>
      </c>
      <c r="Y24" s="36">
        <v>1</v>
      </c>
      <c r="Z24" s="36">
        <v>3</v>
      </c>
      <c r="AA24" s="36">
        <v>4</v>
      </c>
      <c r="AB24" s="37">
        <v>2</v>
      </c>
      <c r="AC24" s="47">
        <v>1</v>
      </c>
      <c r="AD24" s="36">
        <v>1</v>
      </c>
      <c r="AE24" s="36">
        <v>3</v>
      </c>
      <c r="AF24" s="36">
        <v>3</v>
      </c>
      <c r="AG24" s="37">
        <v>1</v>
      </c>
      <c r="AH24" s="47">
        <v>0</v>
      </c>
      <c r="AI24" s="36">
        <v>2</v>
      </c>
      <c r="AJ24" s="36">
        <v>7</v>
      </c>
      <c r="AK24" s="36">
        <v>4</v>
      </c>
      <c r="AL24" s="37">
        <v>1</v>
      </c>
      <c r="AM24" s="47">
        <v>2</v>
      </c>
      <c r="AN24" s="36">
        <v>1</v>
      </c>
      <c r="AO24" s="36">
        <v>2</v>
      </c>
      <c r="AP24" s="36">
        <v>3</v>
      </c>
      <c r="AQ24" s="37">
        <v>1</v>
      </c>
      <c r="AR24" s="47">
        <v>0</v>
      </c>
      <c r="AS24" s="36">
        <v>2</v>
      </c>
      <c r="AT24" s="36">
        <v>2</v>
      </c>
      <c r="AU24" s="36">
        <v>3</v>
      </c>
      <c r="AV24" s="37">
        <v>0</v>
      </c>
      <c r="AW24" s="47">
        <v>0</v>
      </c>
      <c r="AX24" s="36">
        <v>1</v>
      </c>
      <c r="AY24" s="36">
        <v>1</v>
      </c>
      <c r="AZ24" s="36">
        <v>2</v>
      </c>
      <c r="BA24" s="37">
        <v>2</v>
      </c>
      <c r="BB24" s="47">
        <v>1</v>
      </c>
      <c r="BC24" s="36">
        <v>0</v>
      </c>
      <c r="BD24" s="36">
        <v>1</v>
      </c>
      <c r="BE24" s="36">
        <v>1</v>
      </c>
      <c r="BF24" s="37">
        <v>1</v>
      </c>
    </row>
    <row r="25" spans="5:76">
      <c r="E25" s="1" t="s">
        <v>49</v>
      </c>
      <c r="G25" s="17" t="s">
        <v>85</v>
      </c>
      <c r="H25" s="21" t="s">
        <v>86</v>
      </c>
      <c r="I25" s="18">
        <v>5</v>
      </c>
      <c r="J25" s="18">
        <v>6</v>
      </c>
      <c r="K25" s="18">
        <v>5</v>
      </c>
      <c r="L25" s="18">
        <v>7</v>
      </c>
      <c r="M25" s="18">
        <v>5</v>
      </c>
      <c r="N25" s="19">
        <v>4</v>
      </c>
      <c r="O25" s="30"/>
      <c r="R25" s="64" t="s">
        <v>87</v>
      </c>
      <c r="S25" s="61">
        <v>0</v>
      </c>
      <c r="T25" s="55">
        <v>1</v>
      </c>
      <c r="U25" s="55">
        <v>2</v>
      </c>
      <c r="V25" s="55">
        <v>2</v>
      </c>
      <c r="W25" s="62">
        <v>1</v>
      </c>
      <c r="X25" s="47">
        <v>1</v>
      </c>
      <c r="Y25" s="36">
        <v>1</v>
      </c>
      <c r="Z25" s="36">
        <v>3</v>
      </c>
      <c r="AA25" s="36">
        <v>4</v>
      </c>
      <c r="AB25" s="37">
        <v>2</v>
      </c>
      <c r="AC25" s="47">
        <v>1</v>
      </c>
      <c r="AD25" s="36">
        <v>1</v>
      </c>
      <c r="AE25" s="36">
        <v>3</v>
      </c>
      <c r="AF25" s="36">
        <v>3</v>
      </c>
      <c r="AG25" s="37">
        <v>1</v>
      </c>
      <c r="AH25" s="47">
        <v>0</v>
      </c>
      <c r="AI25" s="36">
        <v>2</v>
      </c>
      <c r="AJ25" s="36">
        <v>7</v>
      </c>
      <c r="AK25" s="36">
        <v>4</v>
      </c>
      <c r="AL25" s="37">
        <v>1</v>
      </c>
      <c r="AM25" s="47">
        <v>2</v>
      </c>
      <c r="AN25" s="36">
        <v>0</v>
      </c>
      <c r="AO25" s="36">
        <v>3</v>
      </c>
      <c r="AP25" s="36">
        <v>3</v>
      </c>
      <c r="AQ25" s="37">
        <v>1</v>
      </c>
      <c r="AR25" s="47">
        <v>0</v>
      </c>
      <c r="AS25" s="36">
        <v>2</v>
      </c>
      <c r="AT25" s="36">
        <v>3</v>
      </c>
      <c r="AU25" s="36">
        <v>2</v>
      </c>
      <c r="AV25" s="37">
        <v>0</v>
      </c>
      <c r="AW25" s="47">
        <v>0</v>
      </c>
      <c r="AX25" s="36">
        <v>2</v>
      </c>
      <c r="AY25" s="36">
        <v>2</v>
      </c>
      <c r="AZ25" s="36">
        <v>2</v>
      </c>
      <c r="BA25" s="37">
        <v>2</v>
      </c>
      <c r="BB25" s="50">
        <v>0</v>
      </c>
      <c r="BC25" s="38">
        <v>0</v>
      </c>
      <c r="BD25" s="38">
        <v>1</v>
      </c>
      <c r="BE25" s="38">
        <v>1</v>
      </c>
      <c r="BF25" s="39">
        <v>1</v>
      </c>
    </row>
    <row r="26" spans="5:76">
      <c r="G26" s="6" t="s">
        <v>88</v>
      </c>
      <c r="H26" s="7" t="s">
        <v>89</v>
      </c>
      <c r="I26" s="8">
        <v>3</v>
      </c>
      <c r="J26" s="8">
        <v>3</v>
      </c>
      <c r="K26" s="8">
        <v>4</v>
      </c>
      <c r="L26" s="8">
        <v>10</v>
      </c>
      <c r="M26" s="8">
        <v>14</v>
      </c>
      <c r="N26" s="9">
        <v>6</v>
      </c>
      <c r="O26" s="32"/>
      <c r="R26" s="64" t="s">
        <v>90</v>
      </c>
      <c r="S26" s="141">
        <f>SUM(S20:W25)</f>
        <v>43</v>
      </c>
      <c r="T26" s="141"/>
      <c r="U26" s="141"/>
      <c r="V26" s="141"/>
      <c r="W26" s="141"/>
      <c r="X26" s="142">
        <f t="shared" ref="X26" si="0">SUM(X20:AB25)</f>
        <v>60</v>
      </c>
      <c r="Y26" s="142"/>
      <c r="Z26" s="142"/>
      <c r="AA26" s="142"/>
      <c r="AB26" s="142"/>
      <c r="AC26" s="142">
        <f t="shared" ref="AC26" si="1">SUM(AC20:AG25)</f>
        <v>63</v>
      </c>
      <c r="AD26" s="142"/>
      <c r="AE26" s="142"/>
      <c r="AF26" s="142"/>
      <c r="AG26" s="142"/>
      <c r="AH26" s="142">
        <f t="shared" ref="AH26" si="2">SUM(AH20:AL25)</f>
        <v>82</v>
      </c>
      <c r="AI26" s="142"/>
      <c r="AJ26" s="142"/>
      <c r="AK26" s="142"/>
      <c r="AL26" s="142"/>
      <c r="AM26" s="142">
        <f t="shared" ref="AM26" si="3">SUM(AM20:AQ25)</f>
        <v>54</v>
      </c>
      <c r="AN26" s="142"/>
      <c r="AO26" s="142"/>
      <c r="AP26" s="142"/>
      <c r="AQ26" s="142"/>
      <c r="AR26" s="142">
        <f t="shared" ref="AR26" si="4">SUM(AR20:AV25)</f>
        <v>43</v>
      </c>
      <c r="AS26" s="142"/>
      <c r="AT26" s="142"/>
      <c r="AU26" s="142"/>
      <c r="AV26" s="142"/>
      <c r="AW26" s="142">
        <f t="shared" ref="AW26" si="5">SUM(AW20:BA25)</f>
        <v>46</v>
      </c>
      <c r="AX26" s="142"/>
      <c r="AY26" s="142"/>
      <c r="AZ26" s="142"/>
      <c r="BA26" s="142"/>
      <c r="BB26" s="142">
        <f t="shared" ref="BB26" si="6">SUM(BB20:BF25)</f>
        <v>22</v>
      </c>
      <c r="BC26" s="142"/>
      <c r="BD26" s="142"/>
      <c r="BE26" s="142"/>
      <c r="BF26" s="146"/>
    </row>
    <row r="27" spans="5:76">
      <c r="G27" s="10" t="s">
        <v>91</v>
      </c>
      <c r="H27" s="11" t="s">
        <v>92</v>
      </c>
      <c r="I27" s="12">
        <v>3</v>
      </c>
      <c r="J27" s="12">
        <v>2</v>
      </c>
      <c r="K27" s="12">
        <v>6</v>
      </c>
      <c r="L27" s="12">
        <v>12</v>
      </c>
      <c r="M27" s="12">
        <v>10</v>
      </c>
      <c r="N27" s="13">
        <v>7</v>
      </c>
      <c r="O27" s="32"/>
      <c r="R27" s="64" t="s">
        <v>93</v>
      </c>
      <c r="S27" s="141">
        <f>22*S26</f>
        <v>946</v>
      </c>
      <c r="T27" s="141"/>
      <c r="U27" s="141"/>
      <c r="V27" s="141"/>
      <c r="W27" s="141"/>
      <c r="X27" s="142">
        <f t="shared" ref="X27" si="7">22*X26</f>
        <v>1320</v>
      </c>
      <c r="Y27" s="142"/>
      <c r="Z27" s="142"/>
      <c r="AA27" s="142"/>
      <c r="AB27" s="142"/>
      <c r="AC27" s="142">
        <f t="shared" ref="AC27" si="8">22*AC26</f>
        <v>1386</v>
      </c>
      <c r="AD27" s="142"/>
      <c r="AE27" s="142"/>
      <c r="AF27" s="142"/>
      <c r="AG27" s="142"/>
      <c r="AH27" s="142">
        <f t="shared" ref="AH27" si="9">22*AH26</f>
        <v>1804</v>
      </c>
      <c r="AI27" s="142"/>
      <c r="AJ27" s="142"/>
      <c r="AK27" s="142"/>
      <c r="AL27" s="142"/>
      <c r="AM27" s="142">
        <f t="shared" ref="AM27" si="10">22*AM26</f>
        <v>1188</v>
      </c>
      <c r="AN27" s="142"/>
      <c r="AO27" s="142"/>
      <c r="AP27" s="142"/>
      <c r="AQ27" s="142"/>
      <c r="AR27" s="142">
        <f t="shared" ref="AR27" si="11">22*AR26</f>
        <v>946</v>
      </c>
      <c r="AS27" s="142"/>
      <c r="AT27" s="142"/>
      <c r="AU27" s="142"/>
      <c r="AV27" s="142"/>
      <c r="AW27" s="142">
        <f t="shared" ref="AW27" si="12">22*AW26</f>
        <v>1012</v>
      </c>
      <c r="AX27" s="142"/>
      <c r="AY27" s="142"/>
      <c r="AZ27" s="142"/>
      <c r="BA27" s="142"/>
      <c r="BB27" s="142">
        <f t="shared" ref="BB27" si="13">22*BB26</f>
        <v>484</v>
      </c>
      <c r="BC27" s="142"/>
      <c r="BD27" s="142"/>
      <c r="BE27" s="142"/>
      <c r="BF27" s="146"/>
    </row>
    <row r="28" spans="5:76">
      <c r="G28" s="14" t="s">
        <v>94</v>
      </c>
      <c r="H28" s="20" t="s">
        <v>95</v>
      </c>
      <c r="I28" s="15">
        <v>5</v>
      </c>
      <c r="J28" s="15">
        <v>6</v>
      </c>
      <c r="K28" s="15">
        <v>3</v>
      </c>
      <c r="L28" s="15">
        <v>8</v>
      </c>
      <c r="M28" s="15">
        <v>7</v>
      </c>
      <c r="N28" s="16">
        <v>6</v>
      </c>
      <c r="O28" s="30"/>
      <c r="R28" s="84" t="s">
        <v>37</v>
      </c>
      <c r="S28" s="144">
        <f>ROUNDUP(S26/8,0)</f>
        <v>6</v>
      </c>
      <c r="T28" s="144"/>
      <c r="U28" s="144"/>
      <c r="V28" s="144"/>
      <c r="W28" s="144"/>
      <c r="X28" s="147">
        <f t="shared" ref="X28" si="14">ROUNDUP(X26/8,0)</f>
        <v>8</v>
      </c>
      <c r="Y28" s="147"/>
      <c r="Z28" s="147"/>
      <c r="AA28" s="147"/>
      <c r="AB28" s="147"/>
      <c r="AC28" s="147">
        <f t="shared" ref="AC28" si="15">ROUNDUP(AC26/8,0)</f>
        <v>8</v>
      </c>
      <c r="AD28" s="147"/>
      <c r="AE28" s="147"/>
      <c r="AF28" s="147"/>
      <c r="AG28" s="147"/>
      <c r="AH28" s="147">
        <f t="shared" ref="AH28" si="16">ROUNDUP(AH26/8,0)</f>
        <v>11</v>
      </c>
      <c r="AI28" s="147"/>
      <c r="AJ28" s="147"/>
      <c r="AK28" s="147"/>
      <c r="AL28" s="147"/>
      <c r="AM28" s="147">
        <f t="shared" ref="AM28" si="17">ROUNDUP(AM26/8,0)</f>
        <v>7</v>
      </c>
      <c r="AN28" s="147"/>
      <c r="AO28" s="147"/>
      <c r="AP28" s="147"/>
      <c r="AQ28" s="147"/>
      <c r="AR28" s="147">
        <f t="shared" ref="AR28" si="18">ROUNDUP(AR26/8,0)</f>
        <v>6</v>
      </c>
      <c r="AS28" s="147"/>
      <c r="AT28" s="147"/>
      <c r="AU28" s="147"/>
      <c r="AV28" s="147"/>
      <c r="AW28" s="147">
        <f t="shared" ref="AW28" si="19">ROUNDUP(AW26/8,0)</f>
        <v>6</v>
      </c>
      <c r="AX28" s="147"/>
      <c r="AY28" s="147"/>
      <c r="AZ28" s="147"/>
      <c r="BA28" s="147"/>
      <c r="BB28" s="147">
        <f t="shared" ref="BB28" si="20">ROUNDUP(BB26/8,0)</f>
        <v>3</v>
      </c>
      <c r="BC28" s="147"/>
      <c r="BD28" s="147"/>
      <c r="BE28" s="147"/>
      <c r="BF28" s="148"/>
    </row>
    <row r="29" spans="5:76">
      <c r="G29" s="17" t="s">
        <v>96</v>
      </c>
      <c r="H29" s="21" t="s">
        <v>97</v>
      </c>
      <c r="I29" s="18">
        <v>1</v>
      </c>
      <c r="J29" s="18">
        <v>6</v>
      </c>
      <c r="K29" s="18">
        <v>10</v>
      </c>
      <c r="L29" s="18">
        <v>14</v>
      </c>
      <c r="M29" s="18">
        <v>18</v>
      </c>
      <c r="N29" s="19">
        <v>7</v>
      </c>
      <c r="O29" s="27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76"/>
      <c r="BB29" s="76"/>
      <c r="BC29" s="76"/>
      <c r="BD29" s="76"/>
      <c r="BE29" s="76"/>
      <c r="BF29" s="76"/>
    </row>
    <row r="30" spans="5:76">
      <c r="E30" s="1"/>
      <c r="G30" s="6" t="s">
        <v>98</v>
      </c>
      <c r="H30" s="7" t="s">
        <v>99</v>
      </c>
      <c r="I30" s="8">
        <v>1</v>
      </c>
      <c r="J30" s="8">
        <v>4</v>
      </c>
      <c r="K30" s="8">
        <v>8</v>
      </c>
      <c r="L30" s="8">
        <v>46</v>
      </c>
      <c r="M30" s="8">
        <v>20</v>
      </c>
      <c r="N30" s="9">
        <v>4</v>
      </c>
      <c r="O30" s="27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</row>
    <row r="31" spans="5:76">
      <c r="E31" s="1"/>
      <c r="G31" s="10" t="s">
        <v>100</v>
      </c>
      <c r="H31" s="11" t="s">
        <v>101</v>
      </c>
      <c r="I31" s="12">
        <v>2</v>
      </c>
      <c r="J31" s="12">
        <v>6</v>
      </c>
      <c r="K31" s="12">
        <v>7</v>
      </c>
      <c r="L31" s="12">
        <v>11</v>
      </c>
      <c r="M31" s="12">
        <v>15</v>
      </c>
      <c r="N31" s="13">
        <v>10</v>
      </c>
      <c r="O31" s="28"/>
      <c r="R31" s="88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</row>
    <row r="32" spans="5:76">
      <c r="E32" s="1"/>
      <c r="G32" s="14" t="s">
        <v>102</v>
      </c>
      <c r="H32" s="20" t="s">
        <v>103</v>
      </c>
      <c r="I32" s="15">
        <v>3</v>
      </c>
      <c r="J32" s="15">
        <v>6</v>
      </c>
      <c r="K32" s="15">
        <v>7</v>
      </c>
      <c r="L32" s="15">
        <v>6</v>
      </c>
      <c r="M32" s="15">
        <v>13</v>
      </c>
      <c r="N32" s="16">
        <v>7</v>
      </c>
      <c r="O32" s="32"/>
      <c r="R32" s="70"/>
      <c r="S32" s="143" t="s">
        <v>104</v>
      </c>
      <c r="T32" s="143"/>
      <c r="U32" s="143"/>
      <c r="V32" s="143"/>
      <c r="W32" s="143"/>
      <c r="X32" s="140" t="s">
        <v>105</v>
      </c>
      <c r="Y32" s="140"/>
      <c r="Z32" s="140"/>
      <c r="AA32" s="140"/>
      <c r="AB32" s="140"/>
      <c r="AC32" s="140" t="s">
        <v>106</v>
      </c>
      <c r="AD32" s="140"/>
      <c r="AE32" s="140"/>
      <c r="AF32" s="140"/>
      <c r="AG32" s="140"/>
      <c r="AH32" s="140" t="s">
        <v>107</v>
      </c>
      <c r="AI32" s="140"/>
      <c r="AJ32" s="140"/>
      <c r="AK32" s="140"/>
      <c r="AL32" s="140"/>
      <c r="AM32" s="140" t="s">
        <v>108</v>
      </c>
      <c r="AN32" s="140"/>
      <c r="AO32" s="140"/>
      <c r="AP32" s="140"/>
      <c r="AQ32" s="140"/>
      <c r="AR32" s="140" t="s">
        <v>109</v>
      </c>
      <c r="AS32" s="140"/>
      <c r="AT32" s="140"/>
      <c r="AU32" s="140"/>
      <c r="AV32" s="140"/>
      <c r="AW32" s="140" t="s">
        <v>110</v>
      </c>
      <c r="AX32" s="140"/>
      <c r="AY32" s="140"/>
      <c r="AZ32" s="140"/>
      <c r="BA32" s="140"/>
      <c r="BB32" s="140" t="s">
        <v>111</v>
      </c>
      <c r="BC32" s="140"/>
      <c r="BD32" s="140"/>
      <c r="BE32" s="140"/>
      <c r="BF32" s="145"/>
      <c r="BG32" s="1"/>
      <c r="BH32" s="1"/>
      <c r="BI32" s="1"/>
      <c r="BJ32" s="1"/>
      <c r="BK32" s="1"/>
    </row>
    <row r="33" spans="5:58">
      <c r="E33" s="1"/>
      <c r="G33" s="17" t="s">
        <v>112</v>
      </c>
      <c r="H33" s="21" t="s">
        <v>113</v>
      </c>
      <c r="I33" s="18">
        <v>3</v>
      </c>
      <c r="J33" s="18">
        <v>4</v>
      </c>
      <c r="K33" s="18">
        <v>6</v>
      </c>
      <c r="L33" s="18">
        <v>12</v>
      </c>
      <c r="M33" s="18">
        <v>13</v>
      </c>
      <c r="N33" s="19">
        <v>6</v>
      </c>
      <c r="O33" s="32"/>
      <c r="R33" s="83" t="s">
        <v>62</v>
      </c>
      <c r="S33" s="56" t="s">
        <v>63</v>
      </c>
      <c r="T33" s="56" t="s">
        <v>64</v>
      </c>
      <c r="U33" s="56" t="s">
        <v>65</v>
      </c>
      <c r="V33" s="56" t="s">
        <v>66</v>
      </c>
      <c r="W33" s="70" t="s">
        <v>67</v>
      </c>
      <c r="X33" s="52" t="s">
        <v>63</v>
      </c>
      <c r="Y33" s="34" t="s">
        <v>64</v>
      </c>
      <c r="Z33" s="34" t="s">
        <v>65</v>
      </c>
      <c r="AA33" s="34" t="s">
        <v>66</v>
      </c>
      <c r="AB33" s="35" t="s">
        <v>67</v>
      </c>
      <c r="AC33" s="52" t="s">
        <v>63</v>
      </c>
      <c r="AD33" s="34" t="s">
        <v>64</v>
      </c>
      <c r="AE33" s="34" t="s">
        <v>65</v>
      </c>
      <c r="AF33" s="34" t="s">
        <v>66</v>
      </c>
      <c r="AG33" s="35" t="s">
        <v>67</v>
      </c>
      <c r="AH33" s="52" t="s">
        <v>63</v>
      </c>
      <c r="AI33" s="34" t="s">
        <v>64</v>
      </c>
      <c r="AJ33" s="34" t="s">
        <v>65</v>
      </c>
      <c r="AK33" s="34" t="s">
        <v>66</v>
      </c>
      <c r="AL33" s="35" t="s">
        <v>67</v>
      </c>
      <c r="AM33" s="52" t="s">
        <v>63</v>
      </c>
      <c r="AN33" s="34" t="s">
        <v>64</v>
      </c>
      <c r="AO33" s="34" t="s">
        <v>65</v>
      </c>
      <c r="AP33" s="34" t="s">
        <v>66</v>
      </c>
      <c r="AQ33" s="35" t="s">
        <v>67</v>
      </c>
      <c r="AR33" s="52" t="s">
        <v>63</v>
      </c>
      <c r="AS33" s="34" t="s">
        <v>64</v>
      </c>
      <c r="AT33" s="34" t="s">
        <v>65</v>
      </c>
      <c r="AU33" s="34" t="s">
        <v>66</v>
      </c>
      <c r="AV33" s="35" t="s">
        <v>67</v>
      </c>
      <c r="AW33" s="52" t="s">
        <v>63</v>
      </c>
      <c r="AX33" s="34" t="s">
        <v>64</v>
      </c>
      <c r="AY33" s="34" t="s">
        <v>65</v>
      </c>
      <c r="AZ33" s="34" t="s">
        <v>66</v>
      </c>
      <c r="BA33" s="35" t="s">
        <v>67</v>
      </c>
      <c r="BB33" s="52" t="s">
        <v>63</v>
      </c>
      <c r="BC33" s="34" t="s">
        <v>64</v>
      </c>
      <c r="BD33" s="34" t="s">
        <v>65</v>
      </c>
      <c r="BE33" s="34" t="s">
        <v>66</v>
      </c>
      <c r="BF33" s="53" t="s">
        <v>67</v>
      </c>
    </row>
    <row r="34" spans="5:58">
      <c r="E34" s="1"/>
      <c r="G34" s="6" t="s">
        <v>114</v>
      </c>
      <c r="H34" s="7" t="s">
        <v>115</v>
      </c>
      <c r="I34" s="8">
        <v>1</v>
      </c>
      <c r="J34" s="8">
        <v>9</v>
      </c>
      <c r="K34" s="8">
        <v>5</v>
      </c>
      <c r="L34" s="8">
        <v>13</v>
      </c>
      <c r="M34" s="8">
        <v>17</v>
      </c>
      <c r="N34" s="9">
        <v>10</v>
      </c>
      <c r="O34" s="27"/>
      <c r="R34" s="64" t="s">
        <v>70</v>
      </c>
      <c r="S34" s="59" t="s">
        <v>72</v>
      </c>
      <c r="T34" s="54">
        <v>1</v>
      </c>
      <c r="U34" s="54">
        <v>2</v>
      </c>
      <c r="V34" s="54">
        <v>0</v>
      </c>
      <c r="W34" s="60">
        <v>0</v>
      </c>
      <c r="X34" s="44">
        <v>1</v>
      </c>
      <c r="Y34" s="45">
        <v>1</v>
      </c>
      <c r="Z34" s="45">
        <v>2</v>
      </c>
      <c r="AA34" s="45">
        <v>0</v>
      </c>
      <c r="AB34" s="46">
        <v>0</v>
      </c>
      <c r="AC34" s="44">
        <v>1</v>
      </c>
      <c r="AD34" s="45">
        <v>0</v>
      </c>
      <c r="AE34" s="45">
        <v>2</v>
      </c>
      <c r="AF34" s="45">
        <v>3</v>
      </c>
      <c r="AG34" s="46">
        <v>1</v>
      </c>
      <c r="AH34" s="44">
        <v>1</v>
      </c>
      <c r="AI34" s="45">
        <v>1</v>
      </c>
      <c r="AJ34" s="45" t="s">
        <v>116</v>
      </c>
      <c r="AK34" s="45" t="s">
        <v>71</v>
      </c>
      <c r="AL34" s="46">
        <v>1</v>
      </c>
      <c r="AM34" s="44">
        <v>1</v>
      </c>
      <c r="AN34" s="45">
        <v>1</v>
      </c>
      <c r="AO34" s="45">
        <v>1</v>
      </c>
      <c r="AP34" s="45">
        <v>2</v>
      </c>
      <c r="AQ34" s="46">
        <v>2</v>
      </c>
      <c r="AR34" s="59">
        <v>1</v>
      </c>
      <c r="AS34" s="54">
        <v>1</v>
      </c>
      <c r="AT34" s="54">
        <v>2</v>
      </c>
      <c r="AU34" s="54">
        <v>2</v>
      </c>
      <c r="AV34" s="60">
        <v>1</v>
      </c>
      <c r="AW34" s="44">
        <v>0</v>
      </c>
      <c r="AX34" s="45">
        <v>1</v>
      </c>
      <c r="AY34" s="45">
        <v>2</v>
      </c>
      <c r="AZ34" s="45">
        <v>2</v>
      </c>
      <c r="BA34" s="51">
        <v>1</v>
      </c>
      <c r="BB34" s="59">
        <v>0</v>
      </c>
      <c r="BC34" s="45">
        <v>1</v>
      </c>
      <c r="BD34" s="45">
        <v>1</v>
      </c>
      <c r="BE34" s="45">
        <v>1</v>
      </c>
      <c r="BF34" s="46">
        <v>1</v>
      </c>
    </row>
    <row r="35" spans="5:58">
      <c r="E35" s="1"/>
      <c r="G35" s="10" t="s">
        <v>117</v>
      </c>
      <c r="H35" s="11" t="s">
        <v>118</v>
      </c>
      <c r="I35" s="12">
        <v>2</v>
      </c>
      <c r="J35" s="12">
        <v>7</v>
      </c>
      <c r="K35" s="12">
        <v>8</v>
      </c>
      <c r="L35" s="12">
        <v>10</v>
      </c>
      <c r="M35" s="12">
        <v>15</v>
      </c>
      <c r="N35" s="13">
        <v>5</v>
      </c>
      <c r="O35" s="28"/>
      <c r="R35" s="64" t="s">
        <v>75</v>
      </c>
      <c r="S35" s="61">
        <v>1</v>
      </c>
      <c r="T35" s="55">
        <v>1</v>
      </c>
      <c r="U35" s="55">
        <v>2</v>
      </c>
      <c r="V35" s="55">
        <v>2</v>
      </c>
      <c r="W35" s="62">
        <v>1</v>
      </c>
      <c r="X35" s="47">
        <v>1</v>
      </c>
      <c r="Y35" s="36">
        <v>1</v>
      </c>
      <c r="Z35" s="36">
        <v>2</v>
      </c>
      <c r="AA35" s="36">
        <v>0</v>
      </c>
      <c r="AB35" s="37">
        <v>3</v>
      </c>
      <c r="AC35" s="47">
        <v>1</v>
      </c>
      <c r="AD35" s="36">
        <v>1</v>
      </c>
      <c r="AE35" s="36">
        <v>2</v>
      </c>
      <c r="AF35" s="36">
        <v>2</v>
      </c>
      <c r="AG35" s="37">
        <v>1</v>
      </c>
      <c r="AH35" s="47">
        <v>1</v>
      </c>
      <c r="AI35" s="36">
        <v>1</v>
      </c>
      <c r="AJ35" s="36">
        <v>2</v>
      </c>
      <c r="AK35" s="36">
        <v>2</v>
      </c>
      <c r="AL35" s="37">
        <v>2</v>
      </c>
      <c r="AM35" s="47">
        <v>1</v>
      </c>
      <c r="AN35" s="36">
        <v>1</v>
      </c>
      <c r="AO35" s="36">
        <v>1</v>
      </c>
      <c r="AP35" s="36">
        <v>2</v>
      </c>
      <c r="AQ35" s="37">
        <v>1</v>
      </c>
      <c r="AR35" s="61">
        <v>1</v>
      </c>
      <c r="AS35" s="55">
        <v>1</v>
      </c>
      <c r="AT35" s="55">
        <v>2</v>
      </c>
      <c r="AU35" s="55">
        <v>2</v>
      </c>
      <c r="AV35" s="62">
        <v>1</v>
      </c>
      <c r="AW35" s="47">
        <v>1</v>
      </c>
      <c r="AX35" s="36">
        <v>1</v>
      </c>
      <c r="AY35" s="36">
        <v>2</v>
      </c>
      <c r="AZ35" s="36">
        <v>2</v>
      </c>
      <c r="BA35" s="40">
        <v>0</v>
      </c>
      <c r="BB35" s="61">
        <v>0</v>
      </c>
      <c r="BC35" s="36">
        <v>1</v>
      </c>
      <c r="BD35" s="36">
        <v>1</v>
      </c>
      <c r="BE35" s="36">
        <v>1</v>
      </c>
      <c r="BF35" s="37">
        <v>1</v>
      </c>
    </row>
    <row r="36" spans="5:58">
      <c r="E36" s="1"/>
      <c r="G36" s="14" t="s">
        <v>119</v>
      </c>
      <c r="H36" s="20" t="s">
        <v>120</v>
      </c>
      <c r="I36" s="15">
        <v>4</v>
      </c>
      <c r="J36" s="15">
        <v>5</v>
      </c>
      <c r="K36" s="15">
        <v>9</v>
      </c>
      <c r="L36" s="15">
        <v>5</v>
      </c>
      <c r="M36" s="15">
        <v>12</v>
      </c>
      <c r="N36" s="16">
        <v>6</v>
      </c>
      <c r="O36" s="29"/>
      <c r="R36" s="64" t="s">
        <v>78</v>
      </c>
      <c r="S36" s="61">
        <v>1</v>
      </c>
      <c r="T36" s="56">
        <v>1</v>
      </c>
      <c r="U36" s="56">
        <v>2</v>
      </c>
      <c r="V36" s="56">
        <v>3</v>
      </c>
      <c r="W36" s="63">
        <v>1</v>
      </c>
      <c r="X36" s="47">
        <v>0</v>
      </c>
      <c r="Y36" s="38">
        <v>1</v>
      </c>
      <c r="Z36" s="38">
        <v>2</v>
      </c>
      <c r="AA36" s="38">
        <v>1</v>
      </c>
      <c r="AB36" s="39">
        <v>1</v>
      </c>
      <c r="AC36" s="47">
        <v>1</v>
      </c>
      <c r="AD36" s="38">
        <v>1</v>
      </c>
      <c r="AE36" s="38">
        <v>2</v>
      </c>
      <c r="AF36" s="38">
        <v>2</v>
      </c>
      <c r="AG36" s="39">
        <v>1</v>
      </c>
      <c r="AH36" s="47">
        <v>0</v>
      </c>
      <c r="AI36" s="38">
        <v>1</v>
      </c>
      <c r="AJ36" s="38">
        <v>2</v>
      </c>
      <c r="AK36" s="38">
        <v>2</v>
      </c>
      <c r="AL36" s="39">
        <v>1</v>
      </c>
      <c r="AM36" s="47">
        <v>1</v>
      </c>
      <c r="AN36" s="38">
        <v>1</v>
      </c>
      <c r="AO36" s="38">
        <v>1</v>
      </c>
      <c r="AP36" s="38">
        <v>2</v>
      </c>
      <c r="AQ36" s="39">
        <v>1</v>
      </c>
      <c r="AR36" s="61">
        <v>1</v>
      </c>
      <c r="AS36" s="56">
        <v>1</v>
      </c>
      <c r="AT36" s="56">
        <v>2</v>
      </c>
      <c r="AU36" s="56">
        <v>3</v>
      </c>
      <c r="AV36" s="63">
        <v>1</v>
      </c>
      <c r="AW36" s="47">
        <v>1</v>
      </c>
      <c r="AX36" s="38">
        <v>1</v>
      </c>
      <c r="AY36" s="38">
        <v>2</v>
      </c>
      <c r="AZ36" s="38">
        <v>2</v>
      </c>
      <c r="BA36" s="33">
        <v>1</v>
      </c>
      <c r="BB36" s="71">
        <v>0</v>
      </c>
      <c r="BC36" s="38">
        <v>1</v>
      </c>
      <c r="BD36" s="38">
        <v>1</v>
      </c>
      <c r="BE36" s="38">
        <v>1</v>
      </c>
      <c r="BF36" s="39">
        <v>1</v>
      </c>
    </row>
    <row r="37" spans="5:58">
      <c r="E37" s="1"/>
      <c r="G37" s="17" t="s">
        <v>121</v>
      </c>
      <c r="H37" s="21" t="s">
        <v>122</v>
      </c>
      <c r="I37" s="18">
        <v>2</v>
      </c>
      <c r="J37" s="18">
        <v>7</v>
      </c>
      <c r="K37" s="18">
        <v>5</v>
      </c>
      <c r="L37" s="18">
        <v>11</v>
      </c>
      <c r="M37" s="18">
        <v>15</v>
      </c>
      <c r="N37" s="19">
        <v>7</v>
      </c>
      <c r="O37" s="28"/>
      <c r="R37" s="64" t="s">
        <v>81</v>
      </c>
      <c r="S37" s="64">
        <v>0</v>
      </c>
      <c r="T37" s="57">
        <v>1</v>
      </c>
      <c r="U37" s="58">
        <v>2</v>
      </c>
      <c r="V37" s="58">
        <v>3</v>
      </c>
      <c r="W37" s="65">
        <v>0</v>
      </c>
      <c r="X37" s="48">
        <v>0</v>
      </c>
      <c r="Y37" s="41">
        <v>1</v>
      </c>
      <c r="Z37" s="42">
        <v>2</v>
      </c>
      <c r="AA37" s="42">
        <v>3</v>
      </c>
      <c r="AB37" s="43">
        <v>1</v>
      </c>
      <c r="AC37" s="48">
        <v>0</v>
      </c>
      <c r="AD37" s="41">
        <v>1</v>
      </c>
      <c r="AE37" s="42">
        <v>2</v>
      </c>
      <c r="AF37" s="42">
        <v>2</v>
      </c>
      <c r="AG37" s="43">
        <v>1</v>
      </c>
      <c r="AH37" s="48">
        <v>0</v>
      </c>
      <c r="AI37" s="41">
        <v>1</v>
      </c>
      <c r="AJ37" s="42">
        <v>2</v>
      </c>
      <c r="AK37" s="42">
        <v>2</v>
      </c>
      <c r="AL37" s="43">
        <v>1</v>
      </c>
      <c r="AM37" s="48">
        <v>1</v>
      </c>
      <c r="AN37" s="41">
        <v>1</v>
      </c>
      <c r="AO37" s="42">
        <v>1</v>
      </c>
      <c r="AP37" s="42">
        <v>3</v>
      </c>
      <c r="AQ37" s="43">
        <v>1</v>
      </c>
      <c r="AR37" s="64">
        <v>1</v>
      </c>
      <c r="AS37" s="57">
        <v>1</v>
      </c>
      <c r="AT37" s="58">
        <v>2</v>
      </c>
      <c r="AU37" s="58">
        <v>2</v>
      </c>
      <c r="AV37" s="65">
        <v>1</v>
      </c>
      <c r="AW37" s="48">
        <v>1</v>
      </c>
      <c r="AX37" s="41">
        <v>1</v>
      </c>
      <c r="AY37" s="42">
        <v>2</v>
      </c>
      <c r="AZ37" s="42">
        <v>2</v>
      </c>
      <c r="BA37" s="49">
        <v>1</v>
      </c>
      <c r="BB37" s="75">
        <v>0</v>
      </c>
      <c r="BC37" s="58">
        <v>1</v>
      </c>
      <c r="BD37" s="42">
        <v>1</v>
      </c>
      <c r="BE37" s="42">
        <v>2</v>
      </c>
      <c r="BF37" s="43">
        <v>0</v>
      </c>
    </row>
    <row r="38" spans="5:58">
      <c r="E38" s="1"/>
      <c r="G38" s="6" t="s">
        <v>123</v>
      </c>
      <c r="H38" s="7" t="s">
        <v>124</v>
      </c>
      <c r="I38" s="8">
        <v>3</v>
      </c>
      <c r="J38" s="8">
        <v>5</v>
      </c>
      <c r="K38" s="8">
        <v>6</v>
      </c>
      <c r="L38" s="8">
        <v>12</v>
      </c>
      <c r="M38" s="8">
        <v>13</v>
      </c>
      <c r="N38" s="9">
        <v>5</v>
      </c>
      <c r="O38" s="32"/>
      <c r="R38" s="64" t="s">
        <v>84</v>
      </c>
      <c r="S38" s="61">
        <v>0</v>
      </c>
      <c r="T38" s="55">
        <v>0</v>
      </c>
      <c r="U38" s="55">
        <v>2</v>
      </c>
      <c r="V38" s="55">
        <v>3</v>
      </c>
      <c r="W38" s="62">
        <v>1</v>
      </c>
      <c r="X38" s="47">
        <v>0</v>
      </c>
      <c r="Y38" s="36">
        <v>1</v>
      </c>
      <c r="Z38" s="36">
        <v>2</v>
      </c>
      <c r="AA38" s="36">
        <v>3</v>
      </c>
      <c r="AB38" s="37">
        <v>1</v>
      </c>
      <c r="AC38" s="47">
        <v>0</v>
      </c>
      <c r="AD38" s="36">
        <v>1</v>
      </c>
      <c r="AE38" s="36">
        <v>1</v>
      </c>
      <c r="AF38" s="36">
        <v>2</v>
      </c>
      <c r="AG38" s="37">
        <v>1</v>
      </c>
      <c r="AH38" s="47">
        <v>0</v>
      </c>
      <c r="AI38" s="36">
        <v>1</v>
      </c>
      <c r="AJ38" s="36">
        <v>2</v>
      </c>
      <c r="AK38" s="36">
        <v>1</v>
      </c>
      <c r="AL38" s="37">
        <v>1</v>
      </c>
      <c r="AM38" s="47">
        <v>1</v>
      </c>
      <c r="AN38" s="36">
        <v>2</v>
      </c>
      <c r="AO38" s="36">
        <v>1</v>
      </c>
      <c r="AP38" s="36">
        <v>2</v>
      </c>
      <c r="AQ38" s="37">
        <v>1</v>
      </c>
      <c r="AR38" s="61">
        <v>0</v>
      </c>
      <c r="AS38" s="55">
        <v>1</v>
      </c>
      <c r="AT38" s="55">
        <v>2</v>
      </c>
      <c r="AU38" s="55">
        <v>2</v>
      </c>
      <c r="AV38" s="62">
        <v>1</v>
      </c>
      <c r="AW38" s="47">
        <v>1</v>
      </c>
      <c r="AX38" s="36">
        <v>1</v>
      </c>
      <c r="AY38" s="36">
        <v>2</v>
      </c>
      <c r="AZ38" s="36">
        <v>3</v>
      </c>
      <c r="BA38" s="40">
        <v>1</v>
      </c>
      <c r="BB38" s="61">
        <v>1</v>
      </c>
      <c r="BC38" s="36">
        <v>0</v>
      </c>
      <c r="BD38" s="36">
        <v>1</v>
      </c>
      <c r="BE38" s="36">
        <v>2</v>
      </c>
      <c r="BF38" s="37">
        <v>0</v>
      </c>
    </row>
    <row r="39" spans="5:58">
      <c r="G39" s="23" t="s">
        <v>125</v>
      </c>
      <c r="H39" s="24" t="s">
        <v>126</v>
      </c>
      <c r="I39" s="25">
        <v>5</v>
      </c>
      <c r="J39" s="25">
        <v>4</v>
      </c>
      <c r="K39" s="25">
        <v>5</v>
      </c>
      <c r="L39" s="25">
        <v>9</v>
      </c>
      <c r="M39" s="25">
        <v>8</v>
      </c>
      <c r="N39" s="26">
        <v>4</v>
      </c>
      <c r="O39" s="30"/>
      <c r="R39" s="64" t="s">
        <v>87</v>
      </c>
      <c r="S39" s="61">
        <v>0</v>
      </c>
      <c r="T39" s="55">
        <v>0</v>
      </c>
      <c r="U39" s="55">
        <v>0</v>
      </c>
      <c r="V39" s="55">
        <v>3</v>
      </c>
      <c r="W39" s="62">
        <v>3</v>
      </c>
      <c r="X39" s="47">
        <v>0</v>
      </c>
      <c r="Y39" s="36">
        <v>1</v>
      </c>
      <c r="Z39" s="36">
        <v>2</v>
      </c>
      <c r="AA39" s="36">
        <v>3</v>
      </c>
      <c r="AB39" s="37">
        <v>1</v>
      </c>
      <c r="AC39" s="47">
        <v>0</v>
      </c>
      <c r="AD39" s="36">
        <v>0</v>
      </c>
      <c r="AE39" s="36">
        <v>1</v>
      </c>
      <c r="AF39" s="36">
        <v>3</v>
      </c>
      <c r="AG39" s="37">
        <v>1</v>
      </c>
      <c r="AH39" s="47">
        <v>0</v>
      </c>
      <c r="AI39" s="36">
        <v>1</v>
      </c>
      <c r="AJ39" s="36">
        <v>2</v>
      </c>
      <c r="AK39" s="36">
        <v>1</v>
      </c>
      <c r="AL39" s="37">
        <v>1</v>
      </c>
      <c r="AM39" s="47">
        <v>1</v>
      </c>
      <c r="AN39" s="36">
        <v>1</v>
      </c>
      <c r="AO39" s="36">
        <v>1</v>
      </c>
      <c r="AP39" s="36">
        <v>2</v>
      </c>
      <c r="AQ39" s="37">
        <v>1</v>
      </c>
      <c r="AR39" s="61">
        <v>0</v>
      </c>
      <c r="AS39" s="55">
        <v>1</v>
      </c>
      <c r="AT39" s="55">
        <v>2</v>
      </c>
      <c r="AU39" s="55">
        <v>2</v>
      </c>
      <c r="AV39" s="62">
        <v>1</v>
      </c>
      <c r="AW39" s="47">
        <v>1</v>
      </c>
      <c r="AX39" s="36">
        <v>1</v>
      </c>
      <c r="AY39" s="36">
        <v>2</v>
      </c>
      <c r="AZ39" s="36">
        <v>2</v>
      </c>
      <c r="BA39" s="40">
        <v>1</v>
      </c>
      <c r="BB39" s="61">
        <v>1</v>
      </c>
      <c r="BC39" s="36">
        <v>0</v>
      </c>
      <c r="BD39" s="36">
        <v>1</v>
      </c>
      <c r="BE39" s="36">
        <v>2</v>
      </c>
      <c r="BF39" s="37">
        <v>0</v>
      </c>
    </row>
    <row r="40" spans="5:58">
      <c r="G40" s="22"/>
      <c r="H40" s="22"/>
      <c r="I40" s="22"/>
      <c r="J40" s="22"/>
      <c r="K40" s="22"/>
      <c r="L40" s="22"/>
      <c r="M40" s="22"/>
      <c r="N40" s="22"/>
      <c r="R40" s="64" t="s">
        <v>90</v>
      </c>
      <c r="S40" s="141">
        <f>SUM(S34:W39)</f>
        <v>36</v>
      </c>
      <c r="T40" s="141"/>
      <c r="U40" s="141"/>
      <c r="V40" s="141"/>
      <c r="W40" s="141"/>
      <c r="X40" s="142">
        <f t="shared" ref="X40" si="21">SUM(X34:AB39)</f>
        <v>37</v>
      </c>
      <c r="Y40" s="142"/>
      <c r="Z40" s="142"/>
      <c r="AA40" s="142"/>
      <c r="AB40" s="142"/>
      <c r="AC40" s="142">
        <f t="shared" ref="AC40" si="22">SUM(AC34:AG39)</f>
        <v>37</v>
      </c>
      <c r="AD40" s="142"/>
      <c r="AE40" s="142"/>
      <c r="AF40" s="142"/>
      <c r="AG40" s="142"/>
      <c r="AH40" s="142">
        <f t="shared" ref="AH40" si="23">SUM(AH34:AL39)</f>
        <v>33</v>
      </c>
      <c r="AI40" s="142"/>
      <c r="AJ40" s="142"/>
      <c r="AK40" s="142"/>
      <c r="AL40" s="142"/>
      <c r="AM40" s="142">
        <f t="shared" ref="AM40" si="24">SUM(AM34:AQ39)</f>
        <v>39</v>
      </c>
      <c r="AN40" s="142"/>
      <c r="AO40" s="142"/>
      <c r="AP40" s="142"/>
      <c r="AQ40" s="142"/>
      <c r="AR40" s="141">
        <f>SUM(AR34:AV39)</f>
        <v>41</v>
      </c>
      <c r="AS40" s="141"/>
      <c r="AT40" s="141"/>
      <c r="AU40" s="141"/>
      <c r="AV40" s="141"/>
      <c r="AW40" s="142">
        <f t="shared" ref="AW40" si="25">SUM(AW34:BA39)</f>
        <v>41</v>
      </c>
      <c r="AX40" s="142"/>
      <c r="AY40" s="142"/>
      <c r="AZ40" s="142"/>
      <c r="BA40" s="142"/>
      <c r="BB40" s="141">
        <f>SUM(BB34:BF39)</f>
        <v>24</v>
      </c>
      <c r="BC40" s="141"/>
      <c r="BD40" s="141"/>
      <c r="BE40" s="141"/>
      <c r="BF40" s="149"/>
    </row>
    <row r="41" spans="5:58">
      <c r="G41" s="22"/>
      <c r="H41" s="22"/>
      <c r="I41" s="22"/>
      <c r="J41" s="22"/>
      <c r="K41" s="22"/>
      <c r="L41" s="22"/>
      <c r="M41" s="22"/>
      <c r="N41" s="22"/>
      <c r="R41" s="64" t="s">
        <v>93</v>
      </c>
      <c r="S41" s="141">
        <f>22*S40</f>
        <v>792</v>
      </c>
      <c r="T41" s="141"/>
      <c r="U41" s="141"/>
      <c r="V41" s="141"/>
      <c r="W41" s="141"/>
      <c r="X41" s="142">
        <f t="shared" ref="X41" si="26">22*X40</f>
        <v>814</v>
      </c>
      <c r="Y41" s="142"/>
      <c r="Z41" s="142"/>
      <c r="AA41" s="142"/>
      <c r="AB41" s="142"/>
      <c r="AC41" s="142">
        <f t="shared" ref="AC41" si="27">22*AC40</f>
        <v>814</v>
      </c>
      <c r="AD41" s="142"/>
      <c r="AE41" s="142"/>
      <c r="AF41" s="142"/>
      <c r="AG41" s="142"/>
      <c r="AH41" s="142">
        <f t="shared" ref="AH41" si="28">22*AH40</f>
        <v>726</v>
      </c>
      <c r="AI41" s="142"/>
      <c r="AJ41" s="142"/>
      <c r="AK41" s="142"/>
      <c r="AL41" s="142"/>
      <c r="AM41" s="142">
        <f t="shared" ref="AM41" si="29">22*AM40</f>
        <v>858</v>
      </c>
      <c r="AN41" s="142"/>
      <c r="AO41" s="142"/>
      <c r="AP41" s="142"/>
      <c r="AQ41" s="142"/>
      <c r="AR41" s="141">
        <f>22*AR40</f>
        <v>902</v>
      </c>
      <c r="AS41" s="141"/>
      <c r="AT41" s="141"/>
      <c r="AU41" s="141"/>
      <c r="AV41" s="141"/>
      <c r="AW41" s="142">
        <f t="shared" ref="AW41" si="30">22*AW40</f>
        <v>902</v>
      </c>
      <c r="AX41" s="142"/>
      <c r="AY41" s="142"/>
      <c r="AZ41" s="142"/>
      <c r="BA41" s="142"/>
      <c r="BB41" s="141">
        <f>22*BB40</f>
        <v>528</v>
      </c>
      <c r="BC41" s="141"/>
      <c r="BD41" s="141"/>
      <c r="BE41" s="141"/>
      <c r="BF41" s="149"/>
    </row>
    <row r="42" spans="5:58">
      <c r="R42" s="84" t="s">
        <v>37</v>
      </c>
      <c r="S42" s="144">
        <f>ROUNDUP(S40/8,0)</f>
        <v>5</v>
      </c>
      <c r="T42" s="144"/>
      <c r="U42" s="144"/>
      <c r="V42" s="144"/>
      <c r="W42" s="144"/>
      <c r="X42" s="147">
        <f t="shared" ref="X42" si="31">ROUNDUP(X40/8,0)</f>
        <v>5</v>
      </c>
      <c r="Y42" s="147"/>
      <c r="Z42" s="147"/>
      <c r="AA42" s="147"/>
      <c r="AB42" s="147"/>
      <c r="AC42" s="147">
        <f t="shared" ref="AC42" si="32">ROUNDUP(AC40/8,0)</f>
        <v>5</v>
      </c>
      <c r="AD42" s="147"/>
      <c r="AE42" s="147"/>
      <c r="AF42" s="147"/>
      <c r="AG42" s="147"/>
      <c r="AH42" s="147">
        <f t="shared" ref="AH42" si="33">ROUNDUP(AH40/8,0)</f>
        <v>5</v>
      </c>
      <c r="AI42" s="147"/>
      <c r="AJ42" s="147"/>
      <c r="AK42" s="147"/>
      <c r="AL42" s="147"/>
      <c r="AM42" s="147">
        <f t="shared" ref="AM42" si="34">ROUNDUP(AM40/8,0)</f>
        <v>5</v>
      </c>
      <c r="AN42" s="147"/>
      <c r="AO42" s="147"/>
      <c r="AP42" s="147"/>
      <c r="AQ42" s="147"/>
      <c r="AR42" s="144">
        <f>ROUNDUP(AR40/8,0)</f>
        <v>6</v>
      </c>
      <c r="AS42" s="144"/>
      <c r="AT42" s="144"/>
      <c r="AU42" s="144"/>
      <c r="AV42" s="144"/>
      <c r="AW42" s="147">
        <f t="shared" ref="AW42" si="35">ROUNDUP(AW40/8,0)</f>
        <v>6</v>
      </c>
      <c r="AX42" s="147"/>
      <c r="AY42" s="147"/>
      <c r="AZ42" s="147"/>
      <c r="BA42" s="147"/>
      <c r="BB42" s="144">
        <f>ROUNDUP(BB40/8,0)</f>
        <v>3</v>
      </c>
      <c r="BC42" s="144"/>
      <c r="BD42" s="144"/>
      <c r="BE42" s="144"/>
      <c r="BF42" s="154"/>
    </row>
    <row r="43" spans="5:58"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6"/>
      <c r="AW43" s="76"/>
      <c r="AX43" s="76"/>
      <c r="AY43" s="76"/>
      <c r="AZ43" s="76"/>
      <c r="BA43" s="76"/>
      <c r="BB43" s="76"/>
      <c r="BC43" s="76"/>
      <c r="BD43" s="76"/>
      <c r="BE43" s="76"/>
      <c r="BF43" s="76"/>
    </row>
    <row r="44" spans="5:58"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76"/>
      <c r="BC44" s="76"/>
      <c r="BD44" s="76"/>
      <c r="BE44" s="76"/>
      <c r="BF44" s="76"/>
    </row>
    <row r="45" spans="5:58"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76"/>
      <c r="BC45" s="76"/>
      <c r="BD45" s="76"/>
      <c r="BE45" s="76"/>
      <c r="BF45" s="76"/>
    </row>
    <row r="46" spans="5:58">
      <c r="R46" s="70"/>
      <c r="S46" s="143" t="s">
        <v>127</v>
      </c>
      <c r="T46" s="143"/>
      <c r="U46" s="143"/>
      <c r="V46" s="143"/>
      <c r="W46" s="143"/>
      <c r="X46" s="140" t="s">
        <v>128</v>
      </c>
      <c r="Y46" s="140"/>
      <c r="Z46" s="140"/>
      <c r="AA46" s="140"/>
      <c r="AB46" s="140"/>
      <c r="AC46" s="140" t="s">
        <v>129</v>
      </c>
      <c r="AD46" s="140"/>
      <c r="AE46" s="140"/>
      <c r="AF46" s="140"/>
      <c r="AG46" s="140"/>
      <c r="AH46" s="140" t="s">
        <v>130</v>
      </c>
      <c r="AI46" s="140"/>
      <c r="AJ46" s="140"/>
      <c r="AK46" s="140"/>
      <c r="AL46" s="140"/>
      <c r="AM46" s="140" t="s">
        <v>131</v>
      </c>
      <c r="AN46" s="140"/>
      <c r="AO46" s="140"/>
      <c r="AP46" s="140"/>
      <c r="AQ46" s="140"/>
      <c r="AR46" s="155" t="s">
        <v>132</v>
      </c>
      <c r="AS46" s="156"/>
      <c r="AT46" s="156"/>
      <c r="AU46" s="156"/>
      <c r="AV46" s="157"/>
      <c r="AW46" s="90"/>
      <c r="AX46" s="91"/>
      <c r="AY46" s="33"/>
      <c r="AZ46" s="33"/>
      <c r="BA46" s="33"/>
      <c r="BB46" s="33"/>
      <c r="BC46" s="33"/>
      <c r="BD46" s="33"/>
      <c r="BE46" s="33"/>
      <c r="BF46" s="33"/>
    </row>
    <row r="47" spans="5:58">
      <c r="R47" s="72" t="s">
        <v>62</v>
      </c>
      <c r="S47" s="71" t="s">
        <v>63</v>
      </c>
      <c r="T47" s="56" t="s">
        <v>64</v>
      </c>
      <c r="U47" s="56" t="s">
        <v>65</v>
      </c>
      <c r="V47" s="56" t="s">
        <v>66</v>
      </c>
      <c r="W47" s="70" t="s">
        <v>67</v>
      </c>
      <c r="X47" s="69" t="s">
        <v>63</v>
      </c>
      <c r="Y47" s="68" t="s">
        <v>64</v>
      </c>
      <c r="Z47" s="68" t="s">
        <v>65</v>
      </c>
      <c r="AA47" s="68" t="s">
        <v>66</v>
      </c>
      <c r="AB47" s="67" t="s">
        <v>67</v>
      </c>
      <c r="AC47" s="69" t="s">
        <v>63</v>
      </c>
      <c r="AD47" s="68" t="s">
        <v>64</v>
      </c>
      <c r="AE47" s="68" t="s">
        <v>65</v>
      </c>
      <c r="AF47" s="68" t="s">
        <v>66</v>
      </c>
      <c r="AG47" s="67" t="s">
        <v>67</v>
      </c>
      <c r="AH47" s="69" t="s">
        <v>63</v>
      </c>
      <c r="AI47" s="68" t="s">
        <v>64</v>
      </c>
      <c r="AJ47" s="68" t="s">
        <v>65</v>
      </c>
      <c r="AK47" s="68" t="s">
        <v>66</v>
      </c>
      <c r="AL47" s="67" t="s">
        <v>67</v>
      </c>
      <c r="AM47" s="69" t="s">
        <v>63</v>
      </c>
      <c r="AN47" s="68" t="s">
        <v>64</v>
      </c>
      <c r="AO47" s="68" t="s">
        <v>65</v>
      </c>
      <c r="AP47" s="68" t="s">
        <v>66</v>
      </c>
      <c r="AQ47" s="67" t="s">
        <v>67</v>
      </c>
      <c r="AR47" s="69" t="s">
        <v>63</v>
      </c>
      <c r="AS47" s="68" t="s">
        <v>64</v>
      </c>
      <c r="AT47" s="68" t="s">
        <v>65</v>
      </c>
      <c r="AU47" s="68" t="s">
        <v>66</v>
      </c>
      <c r="AV47" s="67" t="s">
        <v>67</v>
      </c>
      <c r="AW47" s="73" t="s">
        <v>90</v>
      </c>
      <c r="AX47" s="74" t="s">
        <v>93</v>
      </c>
      <c r="AY47" s="70"/>
      <c r="AZ47" s="70"/>
      <c r="BA47" s="70"/>
      <c r="BB47" s="70"/>
      <c r="BC47" s="70"/>
      <c r="BD47" s="70"/>
      <c r="BE47" s="70"/>
      <c r="BF47" s="70"/>
    </row>
    <row r="48" spans="5:58">
      <c r="R48" s="87" t="s">
        <v>70</v>
      </c>
      <c r="S48" s="54">
        <v>1</v>
      </c>
      <c r="T48" s="54">
        <v>1</v>
      </c>
      <c r="U48" s="54">
        <v>1</v>
      </c>
      <c r="V48" s="54">
        <v>1</v>
      </c>
      <c r="W48" s="54">
        <v>0</v>
      </c>
      <c r="X48" s="89">
        <v>1</v>
      </c>
      <c r="Y48" s="66">
        <v>1</v>
      </c>
      <c r="Z48" s="66">
        <v>1</v>
      </c>
      <c r="AA48" s="66">
        <v>1</v>
      </c>
      <c r="AB48" s="66">
        <v>1</v>
      </c>
      <c r="AC48" s="44">
        <v>1</v>
      </c>
      <c r="AD48" s="45">
        <v>1</v>
      </c>
      <c r="AE48" s="45">
        <v>1</v>
      </c>
      <c r="AF48" s="45">
        <v>2</v>
      </c>
      <c r="AG48" s="46">
        <v>0</v>
      </c>
      <c r="AH48" s="44">
        <v>1</v>
      </c>
      <c r="AI48" s="45">
        <v>1</v>
      </c>
      <c r="AJ48" s="45">
        <v>2</v>
      </c>
      <c r="AK48" s="45">
        <v>0</v>
      </c>
      <c r="AL48" s="46">
        <v>1</v>
      </c>
      <c r="AM48" s="44">
        <v>1</v>
      </c>
      <c r="AN48" s="45">
        <v>1</v>
      </c>
      <c r="AO48" s="45">
        <v>0</v>
      </c>
      <c r="AP48" s="45">
        <v>2</v>
      </c>
      <c r="AQ48" s="51">
        <v>1</v>
      </c>
      <c r="AR48" s="47">
        <v>1</v>
      </c>
      <c r="AS48" s="36">
        <v>0</v>
      </c>
      <c r="AT48" s="36">
        <v>1</v>
      </c>
      <c r="AU48" s="36">
        <v>2</v>
      </c>
      <c r="AV48" s="40">
        <v>1</v>
      </c>
      <c r="AW48" s="78">
        <f>SUM(S20:BF20,S34:BF34,S48:AV48)</f>
        <v>137</v>
      </c>
      <c r="AX48" s="60">
        <f>AW48*22</f>
        <v>3014</v>
      </c>
      <c r="AY48" s="33"/>
      <c r="AZ48" s="33"/>
      <c r="BA48" s="33"/>
      <c r="BB48" s="33"/>
      <c r="BC48" s="33"/>
      <c r="BD48" s="33"/>
      <c r="BE48" s="33"/>
      <c r="BF48" s="33"/>
    </row>
    <row r="49" spans="18:58">
      <c r="R49" s="86" t="s">
        <v>75</v>
      </c>
      <c r="S49" s="55">
        <v>1</v>
      </c>
      <c r="T49" s="55">
        <v>1</v>
      </c>
      <c r="U49" s="55">
        <v>1</v>
      </c>
      <c r="V49" s="55">
        <v>1</v>
      </c>
      <c r="W49" s="55">
        <v>0</v>
      </c>
      <c r="X49" s="89">
        <v>1</v>
      </c>
      <c r="Y49" s="66">
        <v>1</v>
      </c>
      <c r="Z49" s="66">
        <v>1</v>
      </c>
      <c r="AA49" s="66">
        <v>1</v>
      </c>
      <c r="AB49" s="66">
        <v>1</v>
      </c>
      <c r="AC49" s="47">
        <v>1</v>
      </c>
      <c r="AD49" s="36">
        <v>1</v>
      </c>
      <c r="AE49" s="36">
        <v>1</v>
      </c>
      <c r="AF49" s="36">
        <v>2</v>
      </c>
      <c r="AG49" s="37">
        <v>1</v>
      </c>
      <c r="AH49" s="47">
        <v>1</v>
      </c>
      <c r="AI49" s="36">
        <v>1</v>
      </c>
      <c r="AJ49" s="36">
        <v>2</v>
      </c>
      <c r="AK49" s="36">
        <v>1</v>
      </c>
      <c r="AL49" s="37">
        <v>1</v>
      </c>
      <c r="AM49" s="47">
        <v>1</v>
      </c>
      <c r="AN49" s="36">
        <v>1</v>
      </c>
      <c r="AO49" s="36">
        <v>1</v>
      </c>
      <c r="AP49" s="36">
        <v>2</v>
      </c>
      <c r="AQ49" s="40">
        <v>1</v>
      </c>
      <c r="AR49" s="47">
        <v>1</v>
      </c>
      <c r="AS49" s="36">
        <v>1</v>
      </c>
      <c r="AT49" s="36">
        <v>1</v>
      </c>
      <c r="AU49" s="36">
        <v>2</v>
      </c>
      <c r="AV49" s="40">
        <v>0</v>
      </c>
      <c r="AW49" s="79">
        <f>SUM(S21:BF21,S35:BF35,S49:AV49)</f>
        <v>154</v>
      </c>
      <c r="AX49" s="62">
        <f>AW49*22</f>
        <v>3388</v>
      </c>
      <c r="AY49" s="33"/>
      <c r="AZ49" s="33"/>
      <c r="BA49" s="33"/>
      <c r="BB49" s="33"/>
      <c r="BC49" s="33"/>
      <c r="BD49" s="33"/>
      <c r="BE49" s="33"/>
      <c r="BF49" s="33"/>
    </row>
    <row r="50" spans="18:58">
      <c r="R50" s="86" t="s">
        <v>78</v>
      </c>
      <c r="S50" s="55">
        <v>1</v>
      </c>
      <c r="T50" s="56">
        <v>1</v>
      </c>
      <c r="U50" s="56">
        <v>1</v>
      </c>
      <c r="V50" s="56">
        <v>1</v>
      </c>
      <c r="W50" s="56">
        <v>1</v>
      </c>
      <c r="X50" s="89">
        <v>1</v>
      </c>
      <c r="Y50" s="66">
        <v>1</v>
      </c>
      <c r="Z50" s="66">
        <v>1</v>
      </c>
      <c r="AA50" s="66">
        <v>1</v>
      </c>
      <c r="AB50" s="66">
        <v>1</v>
      </c>
      <c r="AC50" s="47">
        <v>1</v>
      </c>
      <c r="AD50" s="38">
        <v>1</v>
      </c>
      <c r="AE50" s="38">
        <v>1</v>
      </c>
      <c r="AF50" s="38">
        <v>1</v>
      </c>
      <c r="AG50" s="39">
        <v>1</v>
      </c>
      <c r="AH50" s="47">
        <v>1</v>
      </c>
      <c r="AI50" s="38">
        <v>0</v>
      </c>
      <c r="AJ50" s="38">
        <v>2</v>
      </c>
      <c r="AK50" s="38">
        <v>1</v>
      </c>
      <c r="AL50" s="39">
        <v>1</v>
      </c>
      <c r="AM50" s="47">
        <v>1</v>
      </c>
      <c r="AN50" s="38">
        <v>1</v>
      </c>
      <c r="AO50" s="38">
        <v>1</v>
      </c>
      <c r="AP50" s="38">
        <v>2</v>
      </c>
      <c r="AQ50" s="33">
        <v>1</v>
      </c>
      <c r="AR50" s="47">
        <v>1</v>
      </c>
      <c r="AS50" s="38">
        <v>1</v>
      </c>
      <c r="AT50" s="38">
        <v>0</v>
      </c>
      <c r="AU50" s="38">
        <v>2</v>
      </c>
      <c r="AV50" s="33">
        <v>0</v>
      </c>
      <c r="AW50" s="80">
        <f>SUM(S22:BF22,S36:BF36,S50:AV50)</f>
        <v>151</v>
      </c>
      <c r="AX50" s="62">
        <f>AW50*22</f>
        <v>3322</v>
      </c>
      <c r="AY50" s="33"/>
      <c r="AZ50" s="33"/>
      <c r="BA50" s="33"/>
      <c r="BB50" s="33"/>
      <c r="BC50" s="33"/>
      <c r="BD50" s="33"/>
      <c r="BE50" s="33"/>
      <c r="BF50" s="33"/>
    </row>
    <row r="51" spans="18:58">
      <c r="R51" s="86" t="s">
        <v>81</v>
      </c>
      <c r="S51" s="77">
        <v>1</v>
      </c>
      <c r="T51" s="57">
        <v>1</v>
      </c>
      <c r="U51" s="58">
        <v>1</v>
      </c>
      <c r="V51" s="58">
        <v>1</v>
      </c>
      <c r="W51" s="58">
        <v>1</v>
      </c>
      <c r="X51" s="89">
        <v>1</v>
      </c>
      <c r="Y51" s="66">
        <v>0</v>
      </c>
      <c r="Z51" s="66">
        <v>1</v>
      </c>
      <c r="AA51" s="66">
        <v>1</v>
      </c>
      <c r="AB51" s="66">
        <v>1</v>
      </c>
      <c r="AC51" s="48">
        <v>1</v>
      </c>
      <c r="AD51" s="41">
        <v>1</v>
      </c>
      <c r="AE51" s="42">
        <v>2</v>
      </c>
      <c r="AF51" s="42">
        <v>1</v>
      </c>
      <c r="AG51" s="43">
        <v>1</v>
      </c>
      <c r="AH51" s="48">
        <v>0</v>
      </c>
      <c r="AI51" s="41">
        <v>0</v>
      </c>
      <c r="AJ51" s="42">
        <v>1</v>
      </c>
      <c r="AK51" s="42">
        <v>1</v>
      </c>
      <c r="AL51" s="43">
        <v>0</v>
      </c>
      <c r="AM51" s="48">
        <v>1</v>
      </c>
      <c r="AN51" s="41">
        <v>2</v>
      </c>
      <c r="AO51" s="42">
        <v>1</v>
      </c>
      <c r="AP51" s="42">
        <v>2</v>
      </c>
      <c r="AQ51" s="49">
        <v>1</v>
      </c>
      <c r="AR51" s="48">
        <v>1</v>
      </c>
      <c r="AS51" s="41">
        <v>1</v>
      </c>
      <c r="AT51" s="42">
        <v>0</v>
      </c>
      <c r="AU51" s="42">
        <v>1</v>
      </c>
      <c r="AV51" s="49">
        <v>0</v>
      </c>
      <c r="AW51" s="80">
        <f>SUM(S23:BF23,S37:BF37,S51:AV51)</f>
        <v>148</v>
      </c>
      <c r="AX51" s="62">
        <f>AW51*22</f>
        <v>3256</v>
      </c>
      <c r="AY51" s="33"/>
      <c r="AZ51" s="33"/>
      <c r="BA51" s="33"/>
      <c r="BB51" s="33"/>
      <c r="BC51" s="33"/>
      <c r="BD51" s="33"/>
      <c r="BE51" s="33"/>
      <c r="BF51" s="33"/>
    </row>
    <row r="52" spans="18:58">
      <c r="R52" s="86" t="s">
        <v>84</v>
      </c>
      <c r="S52" s="55">
        <v>1</v>
      </c>
      <c r="T52" s="55">
        <v>1</v>
      </c>
      <c r="U52" s="55">
        <v>1</v>
      </c>
      <c r="V52" s="55">
        <v>1</v>
      </c>
      <c r="W52" s="55">
        <v>1</v>
      </c>
      <c r="X52" s="89">
        <v>1</v>
      </c>
      <c r="Y52" s="66">
        <v>0</v>
      </c>
      <c r="Z52" s="66">
        <v>2</v>
      </c>
      <c r="AA52" s="66">
        <v>1</v>
      </c>
      <c r="AB52" s="66">
        <v>1</v>
      </c>
      <c r="AC52" s="47">
        <v>0</v>
      </c>
      <c r="AD52" s="36">
        <v>0</v>
      </c>
      <c r="AE52" s="36">
        <v>2</v>
      </c>
      <c r="AF52" s="36">
        <v>1</v>
      </c>
      <c r="AG52" s="37">
        <v>1</v>
      </c>
      <c r="AH52" s="47">
        <v>0</v>
      </c>
      <c r="AI52" s="36">
        <v>1</v>
      </c>
      <c r="AJ52" s="36">
        <v>1</v>
      </c>
      <c r="AK52" s="36">
        <v>1</v>
      </c>
      <c r="AL52" s="37">
        <v>1</v>
      </c>
      <c r="AM52" s="47">
        <v>1</v>
      </c>
      <c r="AN52" s="36">
        <v>2</v>
      </c>
      <c r="AO52" s="36">
        <v>1</v>
      </c>
      <c r="AP52" s="36">
        <v>2</v>
      </c>
      <c r="AQ52" s="40">
        <v>1</v>
      </c>
      <c r="AR52" s="47">
        <v>0</v>
      </c>
      <c r="AS52" s="36">
        <v>1</v>
      </c>
      <c r="AT52" s="36">
        <v>1</v>
      </c>
      <c r="AU52" s="36">
        <v>1</v>
      </c>
      <c r="AV52" s="40">
        <v>0</v>
      </c>
      <c r="AW52" s="80">
        <f>SUM(S24:BF24,S38:BF38,S52:AV52)</f>
        <v>144</v>
      </c>
      <c r="AX52" s="62">
        <f>AW52*22</f>
        <v>3168</v>
      </c>
      <c r="AY52" s="33"/>
      <c r="AZ52" s="33"/>
      <c r="BA52" s="33"/>
      <c r="BB52" s="33"/>
      <c r="BC52" s="33"/>
      <c r="BD52" s="33"/>
      <c r="BE52" s="33"/>
      <c r="BF52" s="33"/>
    </row>
    <row r="53" spans="18:58">
      <c r="R53" s="86" t="s">
        <v>87</v>
      </c>
      <c r="S53" s="55">
        <v>1</v>
      </c>
      <c r="T53" s="55">
        <v>0</v>
      </c>
      <c r="U53" s="55">
        <v>2</v>
      </c>
      <c r="V53" s="55">
        <v>0</v>
      </c>
      <c r="W53" s="55">
        <v>1</v>
      </c>
      <c r="X53" s="89">
        <v>1</v>
      </c>
      <c r="Y53" s="66">
        <v>0</v>
      </c>
      <c r="Z53" s="66">
        <v>2</v>
      </c>
      <c r="AA53" s="66">
        <v>2</v>
      </c>
      <c r="AB53" s="66">
        <v>1</v>
      </c>
      <c r="AC53" s="47">
        <v>0</v>
      </c>
      <c r="AD53" s="36">
        <v>1</v>
      </c>
      <c r="AE53" s="36">
        <v>2</v>
      </c>
      <c r="AF53" s="36">
        <v>1</v>
      </c>
      <c r="AG53" s="37">
        <v>0</v>
      </c>
      <c r="AH53" s="47">
        <v>0</v>
      </c>
      <c r="AI53" s="36">
        <v>1</v>
      </c>
      <c r="AJ53" s="36">
        <v>1</v>
      </c>
      <c r="AK53" s="36">
        <v>1</v>
      </c>
      <c r="AL53" s="37">
        <v>1</v>
      </c>
      <c r="AM53" s="47">
        <v>0</v>
      </c>
      <c r="AN53" s="36">
        <v>2</v>
      </c>
      <c r="AO53" s="36">
        <v>1</v>
      </c>
      <c r="AP53" s="36">
        <v>2</v>
      </c>
      <c r="AQ53" s="40">
        <v>1</v>
      </c>
      <c r="AR53" s="50">
        <v>0</v>
      </c>
      <c r="AS53" s="38">
        <v>1</v>
      </c>
      <c r="AT53" s="38">
        <v>1</v>
      </c>
      <c r="AU53" s="38">
        <v>1</v>
      </c>
      <c r="AV53" s="33">
        <v>1</v>
      </c>
      <c r="AW53" s="81">
        <f>SUM(S25:BF25,S39:BF39,S53:AV53)</f>
        <v>141</v>
      </c>
      <c r="AX53" s="63">
        <f>AW53*22</f>
        <v>3102</v>
      </c>
      <c r="AY53" s="33"/>
      <c r="AZ53" s="33"/>
      <c r="BA53" s="33"/>
      <c r="BB53" s="33"/>
      <c r="BC53" s="33"/>
      <c r="BD53" s="33"/>
      <c r="BE53" s="33"/>
      <c r="BF53" s="33"/>
    </row>
    <row r="54" spans="18:58">
      <c r="R54" s="86" t="s">
        <v>90</v>
      </c>
      <c r="S54" s="150">
        <f>SUM(S48:W53)</f>
        <v>27</v>
      </c>
      <c r="T54" s="150"/>
      <c r="U54" s="150"/>
      <c r="V54" s="150"/>
      <c r="W54" s="151"/>
      <c r="X54" s="142">
        <f>SUM(BB34:BF39)</f>
        <v>24</v>
      </c>
      <c r="Y54" s="152"/>
      <c r="Z54" s="152"/>
      <c r="AA54" s="152"/>
      <c r="AB54" s="153"/>
      <c r="AC54" s="142">
        <f t="shared" ref="AC54" si="36">SUM(AC48:AG53)</f>
        <v>30</v>
      </c>
      <c r="AD54" s="152"/>
      <c r="AE54" s="152"/>
      <c r="AF54" s="152"/>
      <c r="AG54" s="153"/>
      <c r="AH54" s="142">
        <f t="shared" ref="AH54" si="37">SUM(AH48:AL53)</f>
        <v>26</v>
      </c>
      <c r="AI54" s="152"/>
      <c r="AJ54" s="152"/>
      <c r="AK54" s="152"/>
      <c r="AL54" s="153"/>
      <c r="AM54" s="142">
        <f t="shared" ref="AM54" si="38">SUM(AM48:AQ53)</f>
        <v>37</v>
      </c>
      <c r="AN54" s="152"/>
      <c r="AO54" s="152"/>
      <c r="AP54" s="152"/>
      <c r="AQ54" s="152"/>
      <c r="AR54" s="142">
        <f t="shared" ref="AR54" si="39">SUM(AR48:AV53)</f>
        <v>24</v>
      </c>
      <c r="AS54" s="152"/>
      <c r="AT54" s="152"/>
      <c r="AU54" s="152"/>
      <c r="AV54" s="152"/>
      <c r="AW54" s="166">
        <f>SUM(S26:BF26,S40:BF40,S54:AV54)+48+80</f>
        <v>997</v>
      </c>
      <c r="AX54" s="167"/>
      <c r="AZ54" s="33"/>
      <c r="BA54" s="33"/>
      <c r="BB54" s="33"/>
      <c r="BC54" s="33"/>
      <c r="BD54" s="33"/>
      <c r="BE54" s="33"/>
      <c r="BF54" s="33"/>
    </row>
    <row r="55" spans="18:58">
      <c r="R55" s="86" t="s">
        <v>93</v>
      </c>
      <c r="S55" s="150">
        <f>22*S54</f>
        <v>594</v>
      </c>
      <c r="T55" s="150"/>
      <c r="U55" s="150"/>
      <c r="V55" s="150"/>
      <c r="W55" s="151"/>
      <c r="X55" s="142">
        <f t="shared" ref="X55" si="40">22*X54</f>
        <v>528</v>
      </c>
      <c r="Y55" s="152"/>
      <c r="Z55" s="152"/>
      <c r="AA55" s="152"/>
      <c r="AB55" s="153"/>
      <c r="AC55" s="142">
        <f t="shared" ref="AC55" si="41">22*AC54</f>
        <v>660</v>
      </c>
      <c r="AD55" s="152"/>
      <c r="AE55" s="152"/>
      <c r="AF55" s="152"/>
      <c r="AG55" s="153"/>
      <c r="AH55" s="142">
        <f t="shared" ref="AH55" si="42">22*AH54</f>
        <v>572</v>
      </c>
      <c r="AI55" s="152"/>
      <c r="AJ55" s="152"/>
      <c r="AK55" s="152"/>
      <c r="AL55" s="153"/>
      <c r="AM55" s="142">
        <f t="shared" ref="AM55" si="43">22*AM54</f>
        <v>814</v>
      </c>
      <c r="AN55" s="152"/>
      <c r="AO55" s="152"/>
      <c r="AP55" s="152"/>
      <c r="AQ55" s="152"/>
      <c r="AR55" s="142">
        <f t="shared" ref="AR55" si="44">22*AR54</f>
        <v>528</v>
      </c>
      <c r="AS55" s="152"/>
      <c r="AT55" s="152"/>
      <c r="AU55" s="152"/>
      <c r="AV55" s="152"/>
      <c r="AW55" s="166">
        <f>SUM(S27:BF27,S41:BF41,S55:AV55)+1000+2000</f>
        <v>22118</v>
      </c>
      <c r="AX55" s="167"/>
      <c r="AZ55" s="33"/>
      <c r="BA55" s="33"/>
      <c r="BB55" s="33"/>
      <c r="BC55" s="33"/>
      <c r="BD55" s="33"/>
      <c r="BE55" s="33"/>
      <c r="BF55" s="33"/>
    </row>
    <row r="56" spans="18:58">
      <c r="R56" s="85" t="s">
        <v>37</v>
      </c>
      <c r="S56" s="144">
        <f>ROUNDUP(S54/8,0)</f>
        <v>4</v>
      </c>
      <c r="T56" s="158"/>
      <c r="U56" s="158"/>
      <c r="V56" s="158"/>
      <c r="W56" s="159"/>
      <c r="X56" s="147">
        <f t="shared" ref="X56" si="45">ROUNDUP(X54/8,0)</f>
        <v>3</v>
      </c>
      <c r="Y56" s="160"/>
      <c r="Z56" s="160"/>
      <c r="AA56" s="160"/>
      <c r="AB56" s="161"/>
      <c r="AC56" s="147">
        <f t="shared" ref="AC56" si="46">ROUNDUP(AC54/8,0)</f>
        <v>4</v>
      </c>
      <c r="AD56" s="160"/>
      <c r="AE56" s="160"/>
      <c r="AF56" s="160"/>
      <c r="AG56" s="161"/>
      <c r="AH56" s="147">
        <f t="shared" ref="AH56" si="47">ROUNDUP(AH54/8,0)</f>
        <v>4</v>
      </c>
      <c r="AI56" s="160"/>
      <c r="AJ56" s="160"/>
      <c r="AK56" s="160"/>
      <c r="AL56" s="161"/>
      <c r="AM56" s="147">
        <f t="shared" ref="AM56" si="48">ROUNDUP(AM54/8,0)</f>
        <v>5</v>
      </c>
      <c r="AN56" s="160"/>
      <c r="AO56" s="160"/>
      <c r="AP56" s="160"/>
      <c r="AQ56" s="160"/>
      <c r="AR56" s="147">
        <f t="shared" ref="AR56" si="49">ROUNDUP(AR54/8,0)</f>
        <v>3</v>
      </c>
      <c r="AS56" s="160"/>
      <c r="AT56" s="160"/>
      <c r="AU56" s="160"/>
      <c r="AV56" s="160"/>
      <c r="AW56" s="168">
        <f>SUM(S28:BF28,S42:BF42,S56:AV56)+10+6</f>
        <v>134</v>
      </c>
      <c r="AX56" s="169"/>
      <c r="AZ56" s="33"/>
      <c r="BA56" s="33"/>
      <c r="BB56" s="33"/>
      <c r="BC56" s="33"/>
      <c r="BD56" s="33"/>
      <c r="BE56" s="33"/>
      <c r="BF56" s="33"/>
    </row>
  </sheetData>
  <mergeCells count="98">
    <mergeCell ref="T4:AC4"/>
    <mergeCell ref="AD4:AO4"/>
    <mergeCell ref="AP6:AQ6"/>
    <mergeCell ref="AP4:AQ4"/>
    <mergeCell ref="AP5:AQ5"/>
    <mergeCell ref="AP7:AQ7"/>
    <mergeCell ref="AP8:AQ8"/>
    <mergeCell ref="AW54:AX54"/>
    <mergeCell ref="AW55:AX55"/>
    <mergeCell ref="AW56:AX56"/>
    <mergeCell ref="AM54:AQ54"/>
    <mergeCell ref="AR56:AV56"/>
    <mergeCell ref="AR55:AV55"/>
    <mergeCell ref="AR54:AV54"/>
    <mergeCell ref="AW41:BA41"/>
    <mergeCell ref="AM41:AQ41"/>
    <mergeCell ref="AW28:BA28"/>
    <mergeCell ref="AR18:AV18"/>
    <mergeCell ref="AW18:BA18"/>
    <mergeCell ref="S55:W55"/>
    <mergeCell ref="X55:AB55"/>
    <mergeCell ref="AC55:AG55"/>
    <mergeCell ref="AH55:AL55"/>
    <mergeCell ref="AM55:AQ55"/>
    <mergeCell ref="S56:W56"/>
    <mergeCell ref="X56:AB56"/>
    <mergeCell ref="AC56:AG56"/>
    <mergeCell ref="AH56:AL56"/>
    <mergeCell ref="AM56:AQ56"/>
    <mergeCell ref="AH46:AL46"/>
    <mergeCell ref="AM46:AQ46"/>
    <mergeCell ref="AR46:AV46"/>
    <mergeCell ref="X42:AB42"/>
    <mergeCell ref="AC42:AG42"/>
    <mergeCell ref="AH42:AL42"/>
    <mergeCell ref="AM42:AQ42"/>
    <mergeCell ref="AR42:AV42"/>
    <mergeCell ref="BB41:BF41"/>
    <mergeCell ref="AW40:BA40"/>
    <mergeCell ref="BB40:BF40"/>
    <mergeCell ref="S54:W54"/>
    <mergeCell ref="S41:W41"/>
    <mergeCell ref="X41:AB41"/>
    <mergeCell ref="AC41:AG41"/>
    <mergeCell ref="AH41:AL41"/>
    <mergeCell ref="X54:AB54"/>
    <mergeCell ref="AC54:AG54"/>
    <mergeCell ref="AH54:AL54"/>
    <mergeCell ref="AW42:BA42"/>
    <mergeCell ref="BB42:BF42"/>
    <mergeCell ref="X46:AB46"/>
    <mergeCell ref="AC46:AG46"/>
    <mergeCell ref="AR41:AV41"/>
    <mergeCell ref="AC40:AG40"/>
    <mergeCell ref="AH40:AL40"/>
    <mergeCell ref="AM40:AQ40"/>
    <mergeCell ref="AR40:AV40"/>
    <mergeCell ref="S28:W28"/>
    <mergeCell ref="X28:AB28"/>
    <mergeCell ref="AC28:AG28"/>
    <mergeCell ref="AH28:AL28"/>
    <mergeCell ref="AC32:AG32"/>
    <mergeCell ref="AH32:AL32"/>
    <mergeCell ref="AM32:AQ32"/>
    <mergeCell ref="X40:AB40"/>
    <mergeCell ref="BB28:BF28"/>
    <mergeCell ref="X32:AB32"/>
    <mergeCell ref="AR27:AV27"/>
    <mergeCell ref="AW27:BA27"/>
    <mergeCell ref="BB27:BF27"/>
    <mergeCell ref="AM27:AQ27"/>
    <mergeCell ref="X27:AB27"/>
    <mergeCell ref="AC27:AG27"/>
    <mergeCell ref="AH27:AL27"/>
    <mergeCell ref="AM28:AQ28"/>
    <mergeCell ref="AR28:AV28"/>
    <mergeCell ref="BB32:BF32"/>
    <mergeCell ref="AR32:AV32"/>
    <mergeCell ref="AW32:BA32"/>
    <mergeCell ref="BB18:BF18"/>
    <mergeCell ref="AM26:AQ26"/>
    <mergeCell ref="AR26:AV26"/>
    <mergeCell ref="AW26:BA26"/>
    <mergeCell ref="BB26:BF26"/>
    <mergeCell ref="AM18:AQ18"/>
    <mergeCell ref="S46:W46"/>
    <mergeCell ref="S42:W42"/>
    <mergeCell ref="S32:W32"/>
    <mergeCell ref="S27:W27"/>
    <mergeCell ref="S18:W18"/>
    <mergeCell ref="S40:W40"/>
    <mergeCell ref="X18:AB18"/>
    <mergeCell ref="AC18:AG18"/>
    <mergeCell ref="AH18:AL18"/>
    <mergeCell ref="S26:W26"/>
    <mergeCell ref="X26:AB26"/>
    <mergeCell ref="AC26:AG26"/>
    <mergeCell ref="AH26:AL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DA7BD-063A-4DC8-8E94-21A9BF39B66B}">
  <dimension ref="A1:G69"/>
  <sheetViews>
    <sheetView topLeftCell="A38" workbookViewId="0">
      <selection activeCell="H54" sqref="H54"/>
    </sheetView>
  </sheetViews>
  <sheetFormatPr defaultColWidth="9.140625" defaultRowHeight="15"/>
  <cols>
    <col min="1" max="7" width="16" customWidth="1"/>
  </cols>
  <sheetData>
    <row r="1" spans="1:7" ht="18.75">
      <c r="A1" s="181" t="s">
        <v>133</v>
      </c>
      <c r="B1" s="184"/>
      <c r="C1" s="184"/>
      <c r="D1" s="184"/>
      <c r="E1" s="184"/>
      <c r="F1" s="184"/>
      <c r="G1" s="184"/>
    </row>
    <row r="2" spans="1:7">
      <c r="A2" s="92" t="s">
        <v>134</v>
      </c>
      <c r="B2" s="92" t="s">
        <v>135</v>
      </c>
      <c r="C2" s="92" t="s">
        <v>136</v>
      </c>
      <c r="D2" s="92" t="s">
        <v>137</v>
      </c>
      <c r="E2" s="92" t="s">
        <v>138</v>
      </c>
      <c r="F2" s="92" t="s">
        <v>139</v>
      </c>
      <c r="G2" s="92" t="s">
        <v>140</v>
      </c>
    </row>
    <row r="3" spans="1:7" ht="38.1" customHeight="1">
      <c r="A3" s="93"/>
      <c r="B3" s="93"/>
      <c r="C3" s="94" t="s">
        <v>141</v>
      </c>
      <c r="D3" s="94" t="s">
        <v>142</v>
      </c>
      <c r="E3" s="94" t="s">
        <v>143</v>
      </c>
      <c r="F3" s="95" t="s">
        <v>144</v>
      </c>
      <c r="G3" s="95" t="s">
        <v>145</v>
      </c>
    </row>
    <row r="4" spans="1:7" ht="38.1" customHeight="1">
      <c r="A4" s="94" t="s">
        <v>146</v>
      </c>
      <c r="B4" s="94" t="s">
        <v>147</v>
      </c>
      <c r="C4" s="94" t="s">
        <v>148</v>
      </c>
      <c r="D4" s="94" t="s">
        <v>149</v>
      </c>
      <c r="E4" s="94" t="s">
        <v>150</v>
      </c>
      <c r="F4" s="95" t="s">
        <v>151</v>
      </c>
      <c r="G4" s="95" t="s">
        <v>152</v>
      </c>
    </row>
    <row r="5" spans="1:7" ht="38.1" customHeight="1">
      <c r="A5" s="94" t="s">
        <v>153</v>
      </c>
      <c r="B5" s="94" t="s">
        <v>154</v>
      </c>
      <c r="C5" s="94" t="s">
        <v>155</v>
      </c>
      <c r="D5" s="96" t="s">
        <v>156</v>
      </c>
      <c r="E5" s="94" t="s">
        <v>157</v>
      </c>
      <c r="F5" s="95" t="s">
        <v>158</v>
      </c>
      <c r="G5" s="95" t="s">
        <v>159</v>
      </c>
    </row>
    <row r="6" spans="1:7" ht="38.1" customHeight="1">
      <c r="A6" s="94" t="s">
        <v>160</v>
      </c>
      <c r="B6" s="94" t="s">
        <v>161</v>
      </c>
      <c r="C6" s="94" t="s">
        <v>162</v>
      </c>
      <c r="D6" s="94" t="s">
        <v>163</v>
      </c>
      <c r="E6" s="96" t="s">
        <v>164</v>
      </c>
      <c r="F6" s="95" t="s">
        <v>165</v>
      </c>
      <c r="G6" s="95" t="s">
        <v>166</v>
      </c>
    </row>
    <row r="7" spans="1:7" ht="38.1" customHeight="1">
      <c r="A7" s="94" t="s">
        <v>167</v>
      </c>
      <c r="B7" s="94" t="s">
        <v>168</v>
      </c>
      <c r="C7" s="94" t="s">
        <v>169</v>
      </c>
      <c r="D7" s="94" t="s">
        <v>170</v>
      </c>
      <c r="E7" s="94" t="s">
        <v>171</v>
      </c>
      <c r="F7" s="93"/>
      <c r="G7" s="93"/>
    </row>
    <row r="8" spans="1:7" ht="38.1" customHeight="1">
      <c r="A8" s="93"/>
      <c r="B8" s="93"/>
      <c r="C8" s="93"/>
      <c r="D8" s="93"/>
      <c r="E8" s="93"/>
      <c r="F8" s="93"/>
      <c r="G8" s="93"/>
    </row>
    <row r="11" spans="1:7" ht="18.75">
      <c r="A11" s="181" t="s">
        <v>172</v>
      </c>
      <c r="B11" s="184"/>
      <c r="C11" s="184"/>
      <c r="D11" s="184"/>
      <c r="E11" s="184"/>
      <c r="F11" s="184"/>
      <c r="G11" s="184"/>
    </row>
    <row r="12" spans="1:7">
      <c r="A12" s="92" t="s">
        <v>134</v>
      </c>
      <c r="B12" s="92" t="s">
        <v>135</v>
      </c>
      <c r="C12" s="92" t="s">
        <v>136</v>
      </c>
      <c r="D12" s="92" t="s">
        <v>137</v>
      </c>
      <c r="E12" s="92" t="s">
        <v>138</v>
      </c>
      <c r="F12" s="92" t="s">
        <v>139</v>
      </c>
      <c r="G12" s="92" t="s">
        <v>140</v>
      </c>
    </row>
    <row r="13" spans="1:7" ht="38.1" customHeight="1">
      <c r="A13" s="93"/>
      <c r="B13" s="93"/>
      <c r="C13" s="93"/>
      <c r="D13" s="93"/>
      <c r="E13" s="93"/>
      <c r="F13" s="95" t="s">
        <v>141</v>
      </c>
      <c r="G13" s="95" t="s">
        <v>142</v>
      </c>
    </row>
    <row r="14" spans="1:7" ht="38.1" customHeight="1">
      <c r="A14" s="94" t="s">
        <v>173</v>
      </c>
      <c r="B14" s="94" t="s">
        <v>174</v>
      </c>
      <c r="C14" s="96" t="s">
        <v>175</v>
      </c>
      <c r="D14" s="94" t="s">
        <v>176</v>
      </c>
      <c r="E14" s="94" t="s">
        <v>177</v>
      </c>
      <c r="F14" s="95" t="s">
        <v>148</v>
      </c>
      <c r="G14" s="95" t="s">
        <v>149</v>
      </c>
    </row>
    <row r="15" spans="1:7" ht="38.1" customHeight="1">
      <c r="A15" s="94" t="s">
        <v>178</v>
      </c>
      <c r="B15" s="94" t="s">
        <v>179</v>
      </c>
      <c r="C15" s="94" t="s">
        <v>180</v>
      </c>
      <c r="D15" s="94" t="s">
        <v>181</v>
      </c>
      <c r="E15" s="94" t="s">
        <v>182</v>
      </c>
      <c r="F15" s="95" t="s">
        <v>155</v>
      </c>
      <c r="G15" s="95" t="s">
        <v>183</v>
      </c>
    </row>
    <row r="16" spans="1:7" ht="38.1" customHeight="1">
      <c r="A16" s="103" t="s">
        <v>184</v>
      </c>
      <c r="B16" s="98" t="s">
        <v>185</v>
      </c>
      <c r="C16" s="98" t="s">
        <v>186</v>
      </c>
      <c r="D16" s="98" t="s">
        <v>187</v>
      </c>
      <c r="E16" s="98" t="s">
        <v>188</v>
      </c>
      <c r="F16" s="99" t="s">
        <v>189</v>
      </c>
      <c r="G16" s="99" t="s">
        <v>190</v>
      </c>
    </row>
    <row r="17" spans="1:7" ht="38.1" customHeight="1">
      <c r="A17" s="98" t="s">
        <v>191</v>
      </c>
      <c r="B17" s="98" t="s">
        <v>192</v>
      </c>
      <c r="C17" s="98" t="s">
        <v>193</v>
      </c>
      <c r="D17" s="98" t="s">
        <v>194</v>
      </c>
      <c r="E17" s="98" t="s">
        <v>195</v>
      </c>
      <c r="F17" s="99" t="s">
        <v>196</v>
      </c>
      <c r="G17" s="99" t="s">
        <v>197</v>
      </c>
    </row>
    <row r="18" spans="1:7" ht="37.9" customHeight="1">
      <c r="A18" s="100"/>
      <c r="B18" s="100"/>
      <c r="C18" s="100"/>
      <c r="D18" s="100"/>
      <c r="E18" s="100"/>
      <c r="F18" s="100"/>
      <c r="G18" s="100"/>
    </row>
    <row r="21" spans="1:7" ht="18.75">
      <c r="A21" s="181" t="s">
        <v>198</v>
      </c>
      <c r="B21" s="184"/>
      <c r="C21" s="184"/>
      <c r="D21" s="184"/>
      <c r="E21" s="184"/>
      <c r="F21" s="184"/>
      <c r="G21" s="184"/>
    </row>
    <row r="22" spans="1:7">
      <c r="A22" s="92" t="s">
        <v>134</v>
      </c>
      <c r="B22" s="92" t="s">
        <v>135</v>
      </c>
      <c r="C22" s="92" t="s">
        <v>136</v>
      </c>
      <c r="D22" s="92" t="s">
        <v>137</v>
      </c>
      <c r="E22" s="92" t="s">
        <v>138</v>
      </c>
      <c r="F22" s="92" t="s">
        <v>139</v>
      </c>
      <c r="G22" s="92" t="s">
        <v>140</v>
      </c>
    </row>
    <row r="23" spans="1:7" ht="38.1" customHeight="1">
      <c r="A23" s="94" t="s">
        <v>199</v>
      </c>
      <c r="B23" s="96" t="s">
        <v>200</v>
      </c>
      <c r="C23" s="94" t="s">
        <v>201</v>
      </c>
      <c r="D23" s="94" t="s">
        <v>202</v>
      </c>
      <c r="E23" s="94" t="s">
        <v>203</v>
      </c>
      <c r="F23" s="95" t="s">
        <v>146</v>
      </c>
      <c r="G23" s="95" t="s">
        <v>147</v>
      </c>
    </row>
    <row r="24" spans="1:7" ht="38.1" customHeight="1">
      <c r="A24" s="97" t="s">
        <v>204</v>
      </c>
      <c r="B24" s="94" t="s">
        <v>205</v>
      </c>
      <c r="C24" s="94" t="s">
        <v>206</v>
      </c>
      <c r="D24" s="94" t="s">
        <v>207</v>
      </c>
      <c r="E24" s="96" t="s">
        <v>208</v>
      </c>
      <c r="F24" s="95" t="s">
        <v>153</v>
      </c>
      <c r="G24" s="95" t="s">
        <v>154</v>
      </c>
    </row>
    <row r="25" spans="1:7" ht="38.1" customHeight="1">
      <c r="A25" s="94" t="s">
        <v>209</v>
      </c>
      <c r="B25" s="94" t="s">
        <v>210</v>
      </c>
      <c r="C25" s="94" t="s">
        <v>211</v>
      </c>
      <c r="D25" s="94" t="s">
        <v>212</v>
      </c>
      <c r="E25" s="94" t="s">
        <v>213</v>
      </c>
      <c r="F25" s="95" t="s">
        <v>214</v>
      </c>
      <c r="G25" s="95" t="s">
        <v>215</v>
      </c>
    </row>
    <row r="26" spans="1:7" ht="38.1" customHeight="1">
      <c r="A26" s="96" t="s">
        <v>216</v>
      </c>
      <c r="B26" s="94" t="s">
        <v>217</v>
      </c>
      <c r="C26" s="94" t="s">
        <v>218</v>
      </c>
      <c r="D26" s="97" t="s">
        <v>219</v>
      </c>
      <c r="E26" s="94" t="s">
        <v>220</v>
      </c>
      <c r="F26" s="95" t="s">
        <v>221</v>
      </c>
      <c r="G26" s="95" t="s">
        <v>222</v>
      </c>
    </row>
    <row r="27" spans="1:7" ht="38.1" customHeight="1">
      <c r="A27" s="94" t="s">
        <v>223</v>
      </c>
      <c r="B27" s="94" t="s">
        <v>224</v>
      </c>
      <c r="C27" s="96" t="s">
        <v>225</v>
      </c>
      <c r="D27" s="93"/>
      <c r="E27" s="93"/>
      <c r="F27" s="93"/>
      <c r="G27" s="93"/>
    </row>
    <row r="28" spans="1:7" ht="38.1" customHeight="1">
      <c r="A28" s="93"/>
      <c r="B28" s="93"/>
      <c r="C28" s="93"/>
      <c r="D28" s="93"/>
      <c r="E28" s="93"/>
      <c r="F28" s="93"/>
      <c r="G28" s="93"/>
    </row>
    <row r="31" spans="1:7" ht="18.75">
      <c r="A31" s="181" t="s">
        <v>226</v>
      </c>
      <c r="B31" s="184"/>
      <c r="C31" s="184"/>
      <c r="D31" s="184"/>
      <c r="E31" s="184"/>
      <c r="F31" s="184"/>
      <c r="G31" s="184"/>
    </row>
    <row r="32" spans="1:7">
      <c r="A32" s="92" t="s">
        <v>134</v>
      </c>
      <c r="B32" s="92" t="s">
        <v>135</v>
      </c>
      <c r="C32" s="92" t="s">
        <v>136</v>
      </c>
      <c r="D32" s="92" t="s">
        <v>137</v>
      </c>
      <c r="E32" s="92" t="s">
        <v>138</v>
      </c>
      <c r="F32" s="92" t="s">
        <v>139</v>
      </c>
      <c r="G32" s="92" t="s">
        <v>140</v>
      </c>
    </row>
    <row r="33" spans="1:7" ht="38.1" customHeight="1">
      <c r="A33" s="93"/>
      <c r="B33" s="93"/>
      <c r="C33" s="93"/>
      <c r="D33" s="97" t="s">
        <v>227</v>
      </c>
      <c r="E33" s="94" t="s">
        <v>228</v>
      </c>
      <c r="F33" s="95" t="s">
        <v>143</v>
      </c>
      <c r="G33" s="95" t="s">
        <v>144</v>
      </c>
    </row>
    <row r="34" spans="1:7" ht="38.1" customHeight="1">
      <c r="A34" s="115" t="s">
        <v>229</v>
      </c>
      <c r="B34" s="97" t="s">
        <v>230</v>
      </c>
      <c r="C34" s="96" t="s">
        <v>231</v>
      </c>
      <c r="D34" s="94" t="s">
        <v>232</v>
      </c>
      <c r="E34" s="94" t="s">
        <v>233</v>
      </c>
      <c r="F34" s="95" t="s">
        <v>150</v>
      </c>
      <c r="G34" s="95" t="s">
        <v>151</v>
      </c>
    </row>
    <row r="35" spans="1:7" ht="38.1" customHeight="1">
      <c r="A35" s="94" t="s">
        <v>234</v>
      </c>
      <c r="B35" s="94" t="s">
        <v>235</v>
      </c>
      <c r="C35" s="96" t="s">
        <v>236</v>
      </c>
      <c r="D35" s="94" t="s">
        <v>237</v>
      </c>
      <c r="E35" s="94" t="s">
        <v>238</v>
      </c>
      <c r="F35" s="95" t="s">
        <v>239</v>
      </c>
      <c r="G35" s="95" t="s">
        <v>158</v>
      </c>
    </row>
    <row r="36" spans="1:7" ht="38.1" customHeight="1">
      <c r="A36" s="94" t="s">
        <v>240</v>
      </c>
      <c r="B36" s="94" t="s">
        <v>241</v>
      </c>
      <c r="C36" s="96" t="s">
        <v>242</v>
      </c>
      <c r="D36" s="94" t="s">
        <v>243</v>
      </c>
      <c r="E36" s="94" t="s">
        <v>244</v>
      </c>
      <c r="F36" s="95" t="s">
        <v>245</v>
      </c>
      <c r="G36" s="95" t="s">
        <v>165</v>
      </c>
    </row>
    <row r="37" spans="1:7" ht="38.1" customHeight="1">
      <c r="A37" s="94" t="s">
        <v>246</v>
      </c>
      <c r="B37" s="94" t="s">
        <v>247</v>
      </c>
      <c r="C37" s="96" t="s">
        <v>248</v>
      </c>
      <c r="D37" s="94" t="s">
        <v>249</v>
      </c>
      <c r="E37" s="94" t="s">
        <v>250</v>
      </c>
      <c r="F37" s="95" t="s">
        <v>251</v>
      </c>
      <c r="G37" s="93"/>
    </row>
    <row r="38" spans="1:7" ht="38.1" customHeight="1">
      <c r="A38" s="93"/>
      <c r="B38" s="93"/>
      <c r="C38" s="93"/>
      <c r="D38" s="93"/>
      <c r="E38" s="93"/>
      <c r="F38" s="93"/>
      <c r="G38" s="93"/>
    </row>
    <row r="39" spans="1:7" ht="14.45" customHeight="1"/>
    <row r="41" spans="1:7" ht="18.75">
      <c r="A41" s="180" t="s">
        <v>252</v>
      </c>
      <c r="B41" s="180"/>
      <c r="C41" s="180"/>
      <c r="D41" s="180"/>
      <c r="E41" s="180"/>
      <c r="F41" s="180"/>
      <c r="G41" s="180"/>
    </row>
    <row r="42" spans="1:7">
      <c r="A42" s="107" t="s">
        <v>134</v>
      </c>
      <c r="B42" s="107" t="s">
        <v>135</v>
      </c>
      <c r="C42" s="107" t="s">
        <v>136</v>
      </c>
      <c r="D42" s="107" t="s">
        <v>137</v>
      </c>
      <c r="E42" s="107" t="s">
        <v>138</v>
      </c>
      <c r="F42" s="107" t="s">
        <v>139</v>
      </c>
      <c r="G42" s="107" t="s">
        <v>140</v>
      </c>
    </row>
    <row r="43" spans="1:7" ht="38.1" customHeight="1">
      <c r="A43" s="101"/>
      <c r="B43" s="101"/>
      <c r="C43" s="101"/>
      <c r="D43" s="102"/>
      <c r="E43" s="102" t="s">
        <v>253</v>
      </c>
      <c r="F43" s="105"/>
      <c r="G43" s="116">
        <v>1</v>
      </c>
    </row>
    <row r="44" spans="1:7" ht="38.1" customHeight="1">
      <c r="A44" s="94" t="s">
        <v>254</v>
      </c>
      <c r="B44" s="94" t="s">
        <v>255</v>
      </c>
      <c r="C44" s="109" t="s">
        <v>256</v>
      </c>
      <c r="D44" s="94" t="s">
        <v>257</v>
      </c>
      <c r="E44" s="94" t="s">
        <v>258</v>
      </c>
      <c r="F44" s="116">
        <v>7</v>
      </c>
      <c r="G44" s="116">
        <v>8</v>
      </c>
    </row>
    <row r="45" spans="1:7" ht="38.1" customHeight="1">
      <c r="A45" s="94" t="s">
        <v>259</v>
      </c>
      <c r="B45" s="94" t="s">
        <v>260</v>
      </c>
      <c r="C45" s="109" t="s">
        <v>261</v>
      </c>
      <c r="D45" s="94" t="s">
        <v>262</v>
      </c>
      <c r="E45" s="94" t="s">
        <v>263</v>
      </c>
      <c r="F45" s="116">
        <v>14</v>
      </c>
      <c r="G45" s="116">
        <v>15</v>
      </c>
    </row>
    <row r="46" spans="1:7" ht="38.1" customHeight="1">
      <c r="A46" s="94" t="s">
        <v>264</v>
      </c>
      <c r="B46" s="94" t="s">
        <v>265</v>
      </c>
      <c r="C46" s="94" t="s">
        <v>266</v>
      </c>
      <c r="D46" s="109" t="s">
        <v>267</v>
      </c>
      <c r="E46" s="94" t="s">
        <v>268</v>
      </c>
      <c r="F46" s="116">
        <v>21</v>
      </c>
      <c r="G46" s="116">
        <v>22</v>
      </c>
    </row>
    <row r="47" spans="1:7" ht="38.1" customHeight="1">
      <c r="A47" s="98" t="s">
        <v>269</v>
      </c>
      <c r="B47" s="98" t="s">
        <v>270</v>
      </c>
      <c r="C47" s="98" t="s">
        <v>271</v>
      </c>
      <c r="D47" s="98" t="s">
        <v>272</v>
      </c>
      <c r="E47" s="110" t="s">
        <v>273</v>
      </c>
      <c r="F47" s="117">
        <v>28</v>
      </c>
      <c r="G47" s="106"/>
    </row>
    <row r="48" spans="1:7" ht="38.1" customHeight="1">
      <c r="A48" s="111"/>
      <c r="B48" s="111"/>
      <c r="C48" s="111"/>
      <c r="D48" s="111"/>
      <c r="E48" s="111"/>
      <c r="F48" s="111"/>
      <c r="G48" s="112"/>
    </row>
    <row r="51" spans="1:7" ht="18.75">
      <c r="A51" s="178" t="s">
        <v>274</v>
      </c>
      <c r="B51" s="178"/>
      <c r="C51" s="178"/>
      <c r="D51" s="178"/>
      <c r="E51" s="178"/>
      <c r="F51" s="178"/>
      <c r="G51" s="178"/>
    </row>
    <row r="52" spans="1:7" ht="15.75" customHeight="1">
      <c r="A52" s="107" t="s">
        <v>134</v>
      </c>
      <c r="B52" s="107" t="s">
        <v>135</v>
      </c>
      <c r="C52" s="107" t="s">
        <v>136</v>
      </c>
      <c r="D52" s="107" t="s">
        <v>137</v>
      </c>
      <c r="E52" s="107" t="s">
        <v>138</v>
      </c>
      <c r="F52" s="107" t="s">
        <v>139</v>
      </c>
      <c r="G52" s="107" t="s">
        <v>140</v>
      </c>
    </row>
    <row r="53" spans="1:7" ht="38.1" customHeight="1">
      <c r="A53" s="104"/>
      <c r="B53" s="104"/>
      <c r="C53" s="104"/>
      <c r="D53" s="104"/>
      <c r="E53" s="104"/>
      <c r="F53" s="104"/>
      <c r="G53" s="118">
        <v>1</v>
      </c>
    </row>
    <row r="54" spans="1:7" ht="38.1" customHeight="1">
      <c r="A54" s="108" t="s">
        <v>275</v>
      </c>
      <c r="B54" s="108" t="s">
        <v>276</v>
      </c>
      <c r="C54" s="113" t="s">
        <v>277</v>
      </c>
      <c r="D54" s="108" t="s">
        <v>278</v>
      </c>
      <c r="E54" s="108" t="s">
        <v>279</v>
      </c>
      <c r="F54" s="119">
        <v>7</v>
      </c>
      <c r="G54" s="119">
        <v>8</v>
      </c>
    </row>
    <row r="55" spans="1:7" ht="38.1" customHeight="1">
      <c r="A55" s="94" t="s">
        <v>280</v>
      </c>
      <c r="B55" s="109" t="s">
        <v>281</v>
      </c>
      <c r="C55" s="94" t="s">
        <v>282</v>
      </c>
      <c r="D55" s="94" t="s">
        <v>283</v>
      </c>
      <c r="E55" s="109" t="s">
        <v>284</v>
      </c>
      <c r="F55" s="116">
        <v>14</v>
      </c>
      <c r="G55" s="116">
        <v>15</v>
      </c>
    </row>
    <row r="56" spans="1:7" ht="38.1" customHeight="1">
      <c r="A56" s="94" t="s">
        <v>285</v>
      </c>
      <c r="B56" s="94" t="s">
        <v>286</v>
      </c>
      <c r="C56" s="94" t="s">
        <v>287</v>
      </c>
      <c r="D56" s="109" t="s">
        <v>288</v>
      </c>
      <c r="E56" s="94" t="s">
        <v>289</v>
      </c>
      <c r="F56" s="116">
        <v>21</v>
      </c>
      <c r="G56" s="116">
        <v>22</v>
      </c>
    </row>
    <row r="57" spans="1:7" ht="38.1" customHeight="1">
      <c r="A57" s="94" t="s">
        <v>290</v>
      </c>
      <c r="B57" s="94" t="s">
        <v>291</v>
      </c>
      <c r="C57" s="109" t="s">
        <v>292</v>
      </c>
      <c r="D57" s="94" t="s">
        <v>293</v>
      </c>
      <c r="E57" s="94" t="s">
        <v>294</v>
      </c>
      <c r="F57" s="116">
        <v>28</v>
      </c>
      <c r="G57" s="99" t="s">
        <v>196</v>
      </c>
    </row>
    <row r="58" spans="1:7" ht="38.1" customHeight="1">
      <c r="A58" s="98" t="s">
        <v>295</v>
      </c>
      <c r="B58" s="98" t="s">
        <v>296</v>
      </c>
      <c r="C58" s="114"/>
      <c r="D58" s="114"/>
      <c r="E58" s="114"/>
      <c r="F58" s="114"/>
      <c r="G58" s="114"/>
    </row>
    <row r="59" spans="1:7" ht="38.1" customHeight="1">
      <c r="A59" s="111"/>
      <c r="B59" s="111"/>
      <c r="C59" s="112"/>
      <c r="D59" s="112"/>
      <c r="E59" s="112"/>
      <c r="F59" s="112"/>
      <c r="G59" s="112"/>
    </row>
    <row r="62" spans="1:7" ht="15" customHeight="1">
      <c r="A62" s="178" t="s">
        <v>297</v>
      </c>
      <c r="B62" s="179"/>
      <c r="C62" s="179"/>
      <c r="D62" s="179"/>
      <c r="E62" s="179"/>
      <c r="F62" s="179"/>
      <c r="G62" s="179"/>
    </row>
    <row r="63" spans="1:7">
      <c r="A63" s="92" t="s">
        <v>134</v>
      </c>
      <c r="B63" s="92" t="s">
        <v>135</v>
      </c>
      <c r="C63" s="92" t="s">
        <v>136</v>
      </c>
      <c r="D63" s="92" t="s">
        <v>137</v>
      </c>
      <c r="E63" s="92" t="s">
        <v>138</v>
      </c>
      <c r="F63" s="92" t="s">
        <v>139</v>
      </c>
      <c r="G63" s="92" t="s">
        <v>140</v>
      </c>
    </row>
    <row r="64" spans="1:7" ht="38.1" customHeight="1">
      <c r="A64" s="93"/>
      <c r="B64" s="93"/>
      <c r="C64" s="96" t="s">
        <v>298</v>
      </c>
      <c r="D64" s="97" t="s">
        <v>299</v>
      </c>
      <c r="E64" s="97" t="s">
        <v>300</v>
      </c>
      <c r="F64" s="95">
        <v>4</v>
      </c>
      <c r="G64" s="95">
        <v>5</v>
      </c>
    </row>
    <row r="65" spans="1:7" ht="38.1" customHeight="1">
      <c r="A65" s="97" t="s">
        <v>230</v>
      </c>
      <c r="B65" s="94" t="s">
        <v>301</v>
      </c>
      <c r="C65" s="94" t="s">
        <v>302</v>
      </c>
      <c r="D65" s="94">
        <v>9</v>
      </c>
      <c r="E65" s="94">
        <v>10</v>
      </c>
      <c r="F65" s="95">
        <v>11</v>
      </c>
      <c r="G65" s="95">
        <v>12</v>
      </c>
    </row>
    <row r="66" spans="1:7" ht="38.1" customHeight="1">
      <c r="A66" s="94">
        <v>13</v>
      </c>
      <c r="B66" s="94">
        <v>14</v>
      </c>
      <c r="C66" s="94">
        <v>15</v>
      </c>
      <c r="D66" s="94">
        <v>16</v>
      </c>
      <c r="E66" s="94">
        <v>17</v>
      </c>
      <c r="F66" s="95">
        <v>18</v>
      </c>
      <c r="G66" s="95">
        <v>19</v>
      </c>
    </row>
    <row r="67" spans="1:7" ht="38.1" customHeight="1">
      <c r="A67" s="94">
        <v>20</v>
      </c>
      <c r="B67" s="94">
        <v>21</v>
      </c>
      <c r="C67" s="94">
        <v>22</v>
      </c>
      <c r="D67" s="94">
        <v>23</v>
      </c>
      <c r="E67" s="94">
        <v>24</v>
      </c>
      <c r="F67" s="95">
        <v>25</v>
      </c>
      <c r="G67" s="95">
        <v>26</v>
      </c>
    </row>
    <row r="68" spans="1:7" ht="38.1" customHeight="1">
      <c r="A68" s="94">
        <v>27</v>
      </c>
      <c r="B68" s="94">
        <v>28</v>
      </c>
      <c r="C68" s="94">
        <v>29</v>
      </c>
      <c r="D68" s="94">
        <v>30</v>
      </c>
      <c r="E68" s="105"/>
      <c r="F68" s="105"/>
      <c r="G68" s="93"/>
    </row>
    <row r="69" spans="1:7" ht="38.1" customHeight="1">
      <c r="A69" s="93"/>
      <c r="B69" s="93"/>
      <c r="C69" s="93"/>
      <c r="D69" s="93"/>
      <c r="E69" s="93"/>
      <c r="F69" s="93"/>
      <c r="G69" s="93"/>
    </row>
  </sheetData>
  <mergeCells count="7">
    <mergeCell ref="A62:G62"/>
    <mergeCell ref="A41:G41"/>
    <mergeCell ref="A51:G51"/>
    <mergeCell ref="A1:G1"/>
    <mergeCell ref="A11:G11"/>
    <mergeCell ref="A21:G21"/>
    <mergeCell ref="A31:G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FE0CC-06BD-4B6B-AB3A-18DB40891309}">
  <dimension ref="A6:G21"/>
  <sheetViews>
    <sheetView workbookViewId="0">
      <selection activeCell="C18" sqref="C18"/>
    </sheetView>
  </sheetViews>
  <sheetFormatPr defaultRowHeight="15"/>
  <cols>
    <col min="1" max="1" width="22.85546875" customWidth="1"/>
    <col min="2" max="2" width="11.140625" bestFit="1" customWidth="1"/>
    <col min="3" max="3" width="83.42578125" customWidth="1"/>
  </cols>
  <sheetData>
    <row r="6" spans="1:7">
      <c r="A6" s="66" t="s">
        <v>303</v>
      </c>
      <c r="B6" s="66" t="s">
        <v>304</v>
      </c>
      <c r="C6" s="182" t="s">
        <v>305</v>
      </c>
      <c r="D6" s="182"/>
      <c r="E6" s="182"/>
      <c r="F6" s="182"/>
      <c r="G6" s="182"/>
    </row>
    <row r="7" spans="1:7" ht="18" customHeight="1">
      <c r="A7" s="66" t="s">
        <v>306</v>
      </c>
      <c r="B7" s="66" t="s">
        <v>307</v>
      </c>
      <c r="C7" s="183" t="s">
        <v>308</v>
      </c>
      <c r="D7" s="183"/>
      <c r="E7" s="183"/>
      <c r="F7" s="183"/>
      <c r="G7" s="183"/>
    </row>
    <row r="8" spans="1:7">
      <c r="A8" s="66" t="s">
        <v>309</v>
      </c>
      <c r="B8" s="66" t="s">
        <v>310</v>
      </c>
      <c r="C8" s="182" t="s">
        <v>311</v>
      </c>
      <c r="D8" s="182"/>
      <c r="E8" s="182"/>
      <c r="F8" s="182"/>
      <c r="G8" s="182"/>
    </row>
    <row r="9" spans="1:7">
      <c r="A9" s="66" t="s">
        <v>312</v>
      </c>
      <c r="B9" s="66" t="s">
        <v>313</v>
      </c>
      <c r="C9" s="182" t="s">
        <v>314</v>
      </c>
      <c r="D9" s="182"/>
      <c r="E9" s="182"/>
      <c r="F9" s="182"/>
      <c r="G9" s="182"/>
    </row>
    <row r="10" spans="1:7" ht="14.25" customHeight="1">
      <c r="A10" s="66" t="s">
        <v>315</v>
      </c>
      <c r="B10" s="66" t="s">
        <v>316</v>
      </c>
      <c r="C10" s="183" t="s">
        <v>317</v>
      </c>
      <c r="D10" s="183"/>
      <c r="E10" s="183"/>
      <c r="F10" s="183"/>
      <c r="G10" s="183"/>
    </row>
    <row r="11" spans="1:7">
      <c r="A11" s="66" t="s">
        <v>318</v>
      </c>
      <c r="B11" s="66" t="s">
        <v>319</v>
      </c>
      <c r="C11" s="182" t="s">
        <v>320</v>
      </c>
      <c r="D11" s="182"/>
      <c r="E11" s="182"/>
      <c r="F11" s="182"/>
      <c r="G11" s="182"/>
    </row>
    <row r="12" spans="1:7">
      <c r="A12" s="66" t="s">
        <v>321</v>
      </c>
      <c r="B12" s="66" t="s">
        <v>322</v>
      </c>
      <c r="C12" s="182" t="s">
        <v>323</v>
      </c>
      <c r="D12" s="182"/>
      <c r="E12" s="182"/>
      <c r="F12" s="182"/>
      <c r="G12" s="182"/>
    </row>
    <row r="13" spans="1:7" ht="15.75" customHeight="1">
      <c r="A13" s="66" t="s">
        <v>324</v>
      </c>
      <c r="B13" s="66" t="s">
        <v>325</v>
      </c>
      <c r="C13" s="182" t="s">
        <v>326</v>
      </c>
      <c r="D13" s="182"/>
      <c r="E13" s="182"/>
      <c r="F13" s="182"/>
      <c r="G13" s="182"/>
    </row>
    <row r="14" spans="1:7">
      <c r="A14" s="76"/>
      <c r="B14" s="76"/>
      <c r="C14" s="76"/>
      <c r="D14" s="76"/>
    </row>
    <row r="15" spans="1:7">
      <c r="A15" s="76"/>
      <c r="B15" s="76"/>
      <c r="C15" s="76"/>
      <c r="D15" s="76"/>
    </row>
    <row r="16" spans="1:7">
      <c r="A16" s="76"/>
      <c r="B16" s="76"/>
      <c r="C16" s="76"/>
      <c r="D16" s="76"/>
    </row>
    <row r="17" spans="1:4">
      <c r="A17" s="76"/>
      <c r="B17" s="76"/>
      <c r="C17" s="76"/>
      <c r="D17" s="76"/>
    </row>
    <row r="18" spans="1:4">
      <c r="A18" s="76"/>
      <c r="B18" s="76"/>
      <c r="C18" s="76"/>
      <c r="D18" s="76"/>
    </row>
    <row r="19" spans="1:4">
      <c r="A19" s="76"/>
      <c r="B19" s="76"/>
      <c r="C19" s="76"/>
      <c r="D19" s="76"/>
    </row>
    <row r="20" spans="1:4">
      <c r="A20" s="76"/>
      <c r="B20" s="76"/>
      <c r="C20" s="76"/>
      <c r="D20" s="76"/>
    </row>
    <row r="21" spans="1:4">
      <c r="A21" s="76"/>
      <c r="B21" s="76"/>
      <c r="C21" s="76"/>
      <c r="D21" s="76"/>
    </row>
  </sheetData>
  <mergeCells count="8">
    <mergeCell ref="C11:G11"/>
    <mergeCell ref="C12:G12"/>
    <mergeCell ref="C13:G13"/>
    <mergeCell ref="C6:G6"/>
    <mergeCell ref="C7:G7"/>
    <mergeCell ref="C8:G8"/>
    <mergeCell ref="C9:G9"/>
    <mergeCell ref="C10:G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2025-10-25T10:58:27Z</dcterms:created>
  <dcterms:modified xsi:type="dcterms:W3CDTF">2025-11-11T14:37:37Z</dcterms:modified>
  <cp:category/>
  <cp:contentStatus/>
</cp:coreProperties>
</file>